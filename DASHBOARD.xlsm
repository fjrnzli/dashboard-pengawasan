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D:\OJT PCT 3\LAPORAN AKHIR OJT\Projek Orientasi PCT 3\"/>
    </mc:Choice>
  </mc:AlternateContent>
  <xr:revisionPtr revIDLastSave="0" documentId="13_ncr:1_{F41E7D45-5227-4292-AF5D-C85D9759DF31}" xr6:coauthVersionLast="47" xr6:coauthVersionMax="47" xr10:uidLastSave="{00000000-0000-0000-0000-000000000000}"/>
  <bookViews>
    <workbookView xWindow="-120" yWindow="-120" windowWidth="20730" windowHeight="11040" xr2:uid="{46C406E6-1E6D-4C33-BB79-2418F989C7C4}"/>
  </bookViews>
  <sheets>
    <sheet name="DATA" sheetId="1" r:id="rId1"/>
    <sheet name="PIVOT" sheetId="15" r:id="rId2"/>
    <sheet name="DASHBOARD" sheetId="16" r:id="rId3"/>
  </sheets>
  <functionGroups builtInGroupCount="19"/>
  <calcPr calcId="191029"/>
  <pivotCaches>
    <pivotCache cacheId="12"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7" i="1" l="1"/>
  <c r="I88" i="1"/>
  <c r="I89" i="1"/>
  <c r="I90" i="1"/>
  <c r="I91" i="1"/>
  <c r="I92" i="1"/>
  <c r="I93" i="1"/>
  <c r="I94" i="1"/>
  <c r="I95" i="1"/>
  <c r="I96" i="1"/>
  <c r="I97" i="1"/>
  <c r="I98" i="1"/>
  <c r="I86" i="1"/>
  <c r="I84" i="1"/>
  <c r="I59" i="1"/>
  <c r="I60" i="1"/>
  <c r="I61" i="1"/>
  <c r="I62" i="1"/>
  <c r="I63" i="1"/>
  <c r="I64" i="1"/>
  <c r="I65" i="1"/>
  <c r="I66" i="1"/>
  <c r="I67" i="1"/>
  <c r="I68" i="1"/>
  <c r="I69" i="1"/>
  <c r="I70" i="1"/>
  <c r="I71" i="1"/>
  <c r="I72" i="1"/>
  <c r="I73" i="1"/>
  <c r="I74" i="1"/>
  <c r="I75" i="1"/>
  <c r="I76" i="1"/>
  <c r="I77" i="1"/>
  <c r="I78" i="1"/>
  <c r="I79" i="1"/>
  <c r="I80" i="1"/>
  <c r="I81" i="1"/>
  <c r="I82" i="1"/>
  <c r="I58" i="1"/>
  <c r="I55" i="1"/>
  <c r="I56" i="1"/>
  <c r="I54" i="1"/>
  <c r="I43" i="1"/>
  <c r="I44" i="1"/>
  <c r="I45" i="1"/>
  <c r="I46" i="1"/>
  <c r="I47" i="1"/>
  <c r="I48" i="1"/>
  <c r="I49" i="1"/>
  <c r="I50" i="1"/>
  <c r="I51" i="1"/>
  <c r="I52" i="1"/>
  <c r="I42" i="1"/>
  <c r="I37" i="1"/>
  <c r="I38" i="1"/>
  <c r="I39" i="1"/>
  <c r="I40" i="1"/>
  <c r="I36" i="1"/>
  <c r="I12" i="1"/>
  <c r="I13" i="1"/>
  <c r="I14" i="1"/>
  <c r="I15" i="1"/>
  <c r="I16" i="1"/>
  <c r="I17" i="1"/>
  <c r="I18" i="1"/>
  <c r="I19" i="1"/>
  <c r="I20" i="1"/>
  <c r="I21" i="1"/>
  <c r="I22" i="1"/>
  <c r="I23" i="1"/>
  <c r="I24" i="1"/>
  <c r="I25" i="1"/>
  <c r="I26" i="1"/>
  <c r="I27" i="1"/>
  <c r="I28" i="1"/>
  <c r="I29" i="1"/>
  <c r="I30" i="1"/>
  <c r="I31" i="1"/>
  <c r="I32" i="1"/>
  <c r="I33" i="1"/>
  <c r="I11" i="1"/>
  <c r="I6" i="1"/>
  <c r="I7" i="1"/>
  <c r="I8" i="1"/>
  <c r="I9" i="1"/>
  <c r="I5" i="1"/>
  <c r="I85" i="1"/>
</calcChain>
</file>

<file path=xl/sharedStrings.xml><?xml version="1.0" encoding="utf-8"?>
<sst xmlns="http://schemas.openxmlformats.org/spreadsheetml/2006/main" count="2509" uniqueCount="225">
  <si>
    <t>RENCANA PEMERIKSAAN LEMBAGA JASA KEUANGAN (LJK) DIVISI PENGAWASAN KANTOR OJK PROVINSI KALIMANTAN SELATAN (KOBM) TAHUN 2026</t>
  </si>
  <si>
    <t>No</t>
  </si>
  <si>
    <t>Prudential Meeting RBB PT BPR Multidhana Bersama</t>
  </si>
  <si>
    <t>Prudential Meeting RBB PT BPR Candi Agung Amuntai</t>
  </si>
  <si>
    <t>PT Bank Perekonomian Rakyat Danapermata Lestari</t>
  </si>
  <si>
    <t>Prudential Meeting RBB Jamkrida Kalsel</t>
  </si>
  <si>
    <t>Prudential Meeting RBB PT BPD Kalimantan Selatan (Post Audit Monitoring)</t>
  </si>
  <si>
    <t>16 Januari 2026 -  Isra' Miraj</t>
  </si>
  <si>
    <t>PT BPR Gawisabumi Mandarsari</t>
  </si>
  <si>
    <t xml:space="preserve">Dana Pensiun BPD Kalsel </t>
  </si>
  <si>
    <t>Sarana Kalsel Ventura</t>
  </si>
  <si>
    <t>Prudential Meeting RBB PT Bank Perekonomian Rakyat Tanah Laut</t>
  </si>
  <si>
    <t>PT Bank Perekonomian Rakyat Hulu Sungai Selatan Perseroda</t>
  </si>
  <si>
    <t>PT Bank Perekonomian Rakyat Martapura Banjar Sejahtera Perseroda</t>
  </si>
  <si>
    <t>PT Bank Perekonomian Rakyat Bank Kotabaru Perseroda</t>
  </si>
  <si>
    <t>PT Bank Perekonomian Rakyat Azaz Andifa</t>
  </si>
  <si>
    <t>PT Bank Perekonomian Rakyat Kredit Mandiri Kalsel</t>
  </si>
  <si>
    <t>PT Bank Perekonomian Rakyat Mitratama Arthabuana</t>
  </si>
  <si>
    <t>PT BPR Sanggam Cipta Sejahtera Balangan</t>
  </si>
  <si>
    <t>PT BPRS Barkah Gemadana</t>
  </si>
  <si>
    <t>PT BPR Tabalong Bersinar</t>
  </si>
  <si>
    <t>Penyusunan KYB/FI BPR</t>
  </si>
  <si>
    <t>KYBBPR (Approval)</t>
  </si>
  <si>
    <t>LHP PT BPD Kalimantan Selatan</t>
  </si>
  <si>
    <t>Prudential Meeting RBB PT BPD Kalimantan Selatan (RBB)</t>
  </si>
  <si>
    <t>Evaluasi Kinerja se-Kalimantan</t>
  </si>
  <si>
    <t>KYB Bank Kalsel Semester II Tahun 2025</t>
  </si>
  <si>
    <t>Pengerjaan TKS BPR</t>
  </si>
  <si>
    <t>Pengerjaan TKS RBBR BPR</t>
  </si>
  <si>
    <t>Pengerjaan TKS Bank Kalsel Semester II Tahun 2025</t>
  </si>
  <si>
    <t>16 Februari 2026 - Cuti Bersama</t>
  </si>
  <si>
    <t>17 Februari 2026 - Tahun Baru Imlek</t>
  </si>
  <si>
    <t>Pemeriksaan Umum PT BPRS Barkah Gemadana</t>
  </si>
  <si>
    <t>Pemeriksaan Umum PT BPR Martapura Banjar Sejahtera</t>
  </si>
  <si>
    <t>LHP BPRS Barkah Gemadana (MIZ) dan BPR MBS (KZ)</t>
  </si>
  <si>
    <t>Pemeriksaan Umum PT BPR Azaz Andifa</t>
  </si>
  <si>
    <t>LHP BPR DPL (FRN)</t>
  </si>
  <si>
    <t>18 Maret 2026 s.d. 24 Maret 2026 - Cuti Bersama dan Libur Lebaran</t>
  </si>
  <si>
    <t>Pemeriksaan Umum PT BPR Tanah Laut</t>
  </si>
  <si>
    <t>LHP BPR Tapin (DMZ) dan BPR TALA (KZ)</t>
  </si>
  <si>
    <t>APERD Dalam Kota</t>
  </si>
  <si>
    <t>LHP APERD (FRN)</t>
  </si>
  <si>
    <t>Pemeriksaan Umum PT BPR GSM</t>
  </si>
  <si>
    <t>LHP BPR DAPEN (KRB-PRB)</t>
  </si>
  <si>
    <t>LHP BPR GSM (DMZ)</t>
  </si>
  <si>
    <t>Pemeriksaan Umum PT BPR Mitratama Artha Buana</t>
  </si>
  <si>
    <t>Prudential Meeting RBB PT BPD Kalimantan Selatan (Realisasi RBB TW I/26 &amp; Post Audit Monitoring)</t>
  </si>
  <si>
    <t>14 Mei 2026 s.d. 15 Mei 2026 - Cuti Bersama dan Libur Kenaikan Yesus Kristus</t>
  </si>
  <si>
    <t>LHP BPR MITRA (PRB)</t>
  </si>
  <si>
    <t>Pemeriksaan Umum PT BPR Tabalong Bersinar</t>
  </si>
  <si>
    <t>Pemeriksaan Umum PT BPR Sanggam Cipta Sejahtera</t>
  </si>
  <si>
    <t>27 Mei 2026 s.d. 28 Mei 2026 - Cuti Bersama dan Libur Idul Adha</t>
  </si>
  <si>
    <t>LHP BPR Tabalong Bersinar (DMZ) dan BPR SCS (KZ)</t>
  </si>
  <si>
    <t>Pemeriksaan Umum Gadai Mega Sentosa</t>
  </si>
  <si>
    <t>LHP Gadai Mega Sentosa (PRB)</t>
  </si>
  <si>
    <t>Pemeriksaan Umum PT BPR Hulu Sungai Selatan</t>
  </si>
  <si>
    <t>Pemeriksaan Umum PT BPR Dana Permata Lestari</t>
  </si>
  <si>
    <t>LHP HSS (MIZ) dan AZAZ (FRN)</t>
  </si>
  <si>
    <t>Pemeriksaan Umum PT BPR Kotabaru</t>
  </si>
  <si>
    <t>Pemeriksaan Umum PT BPR Kredit Mandiri Kalsel</t>
  </si>
  <si>
    <t>Penyusunan KYFI dan TKS Dana Pensiun BPD Kalsel</t>
  </si>
  <si>
    <t>LHP KTB (KZ) dan KMKS (DMZ)</t>
  </si>
  <si>
    <t>Pemeriksaan Umum Sarana Kalsel ventura</t>
  </si>
  <si>
    <t>LHP SKV (PRB)</t>
  </si>
  <si>
    <t>Pemeriksaan Umum PT BPR Candi Agung Amuntai</t>
  </si>
  <si>
    <t>Pemeriksaan Umum PT BPR Multidhana Bersama</t>
  </si>
  <si>
    <t>LHP MULTI (KZ) dan CAA (DMZ)</t>
  </si>
  <si>
    <t>Pemeriksaan PPE EBUS BPD Kalsel</t>
  </si>
  <si>
    <t>KYB Bank Kalsel Semester I</t>
  </si>
  <si>
    <t>LHP PPE (FRN)</t>
  </si>
  <si>
    <t>Pemeriksaan Umum Jamkrida Kalsel</t>
  </si>
  <si>
    <t>RBBR Bank Kalsel Semester I</t>
  </si>
  <si>
    <t>LHP JAMKRIDA (PRB)</t>
  </si>
  <si>
    <t>Pengerjaan RBBR BPR dan BPD</t>
  </si>
  <si>
    <t>Entry Meeting Pemeriksaan Umum PT BPD Kalimantan Selatan + Kantor Pusat</t>
  </si>
  <si>
    <t>Pemeriksaan Kantor Cabang Luar Kota - KC A</t>
  </si>
  <si>
    <t>Pemeriksaan Kantor Cabang Luar Kota - KC B</t>
  </si>
  <si>
    <t>17 Agustus 2026 - Hari Kemerdekaan</t>
  </si>
  <si>
    <t>25 Agustus 2026 - Maulid Nabi</t>
  </si>
  <si>
    <t>Pemeriksaan Kantor Cabang Luar Kota - KC C</t>
  </si>
  <si>
    <t>Pemeriksaan Kantor Cabang Luar Kota - KC D</t>
  </si>
  <si>
    <t>Prudential Meeting RBB PT BPD Kalimantan Selatan (Realisasi RBB TWI I/26 &amp; Post Audit Monitoring)</t>
  </si>
  <si>
    <t>Pemeriksaan Kantor Cabang Luar Kota - KC E</t>
  </si>
  <si>
    <t>Pemeriksaan Kantor Cabang Luar Kota - KC F</t>
  </si>
  <si>
    <t>Pemeriksaan Kantor Cabang Luar Kota - KC G</t>
  </si>
  <si>
    <t>Pemeriksaan Kantor Cabang Luar Kota - KC H</t>
  </si>
  <si>
    <t>Pemeriksaan Kantor Pusat</t>
  </si>
  <si>
    <t>Pemeriksaan MI Dalam Kota</t>
  </si>
  <si>
    <t>Pemeriksaan Gadai Sangat Jaya</t>
  </si>
  <si>
    <t>Pemeriksaan Perusahaan Efek</t>
  </si>
  <si>
    <t>Prudential Meeting RBB PT BPD Kalimantan Selatan (Realisasi RBB TWII I/26 &amp; Post Audit Monitoring)</t>
  </si>
  <si>
    <t>Jenis Kegiatan</t>
  </si>
  <si>
    <t>Supervisor</t>
  </si>
  <si>
    <t>Status Kegiatan</t>
  </si>
  <si>
    <t>Kuartal (Q)</t>
  </si>
  <si>
    <t>Selesai</t>
  </si>
  <si>
    <t>On Progress</t>
  </si>
  <si>
    <t>Belum Mulai</t>
  </si>
  <si>
    <t>BPR</t>
  </si>
  <si>
    <t>Jamkrida</t>
  </si>
  <si>
    <t>Bank Umum</t>
  </si>
  <si>
    <t>Dana Pensiun</t>
  </si>
  <si>
    <t>BPRS</t>
  </si>
  <si>
    <t>Pegadaian</t>
  </si>
  <si>
    <t>PT BPR Multidhana Bersama</t>
  </si>
  <si>
    <t>PT BPR Candi Agung Amuntai</t>
  </si>
  <si>
    <t>PT BPR Danapermata Lestari</t>
  </si>
  <si>
    <t>PT BPD Kalimantan Selatan</t>
  </si>
  <si>
    <t>PT BPR Azaz Andifa</t>
  </si>
  <si>
    <t>PT BPR Tanah Laut</t>
  </si>
  <si>
    <t>PT BPR Hulu Sungai Selatan Perseroda</t>
  </si>
  <si>
    <t>PT BPR Martapura Banjar Sejahtera Perseroda</t>
  </si>
  <si>
    <t>PT BPR Bank Kotabaru Perseroda</t>
  </si>
  <si>
    <t>PT BPR Kredit Mandiri Kalsel</t>
  </si>
  <si>
    <t>PT BPR Mitratama Arthabuana</t>
  </si>
  <si>
    <t>PT BPR Martapura Banjar Sejahtera</t>
  </si>
  <si>
    <t xml:space="preserve">PT BPR Tapin Sejahtera Perseroda </t>
  </si>
  <si>
    <t>BPR DAPEN</t>
  </si>
  <si>
    <t>PT BPR Mitratama Artha Buana</t>
  </si>
  <si>
    <t>PT BPR Sanggam Cipta Sejahtera</t>
  </si>
  <si>
    <t>PT BPR Hulu Sungai Selatan</t>
  </si>
  <si>
    <t xml:space="preserve"> PT BPR Tabalong Bersinar</t>
  </si>
  <si>
    <t>PT BPR Dana Permata Lestari</t>
  </si>
  <si>
    <t>PT BPR Kotabaru</t>
  </si>
  <si>
    <t>Pemeriksaan Umum</t>
  </si>
  <si>
    <t>Prudential Meeting</t>
  </si>
  <si>
    <t>KYBFI</t>
  </si>
  <si>
    <t>Penyusunan LHP</t>
  </si>
  <si>
    <t>Pengerjaan TKS</t>
  </si>
  <si>
    <t>Evaluasi Kinerja</t>
  </si>
  <si>
    <t>Penyusunan RBBR</t>
  </si>
  <si>
    <t>Modal Ventura</t>
  </si>
  <si>
    <t>Q1</t>
  </si>
  <si>
    <t>Q2</t>
  </si>
  <si>
    <t>Q3</t>
  </si>
  <si>
    <t>Q4</t>
  </si>
  <si>
    <t>Kirbani</t>
  </si>
  <si>
    <t>Satrio Aji Nugroho</t>
  </si>
  <si>
    <t>Bulan</t>
  </si>
  <si>
    <t>Nama PUJK</t>
  </si>
  <si>
    <t>Lainnya</t>
  </si>
  <si>
    <t>PT BPR Multidhana Bersama &amp; PT BPR Candi Agung Amuntai</t>
  </si>
  <si>
    <t>Jenis LJK</t>
  </si>
  <si>
    <t>Sektor</t>
  </si>
  <si>
    <t>Perbankan</t>
  </si>
  <si>
    <t>PT Jamkrida Kalsel</t>
  </si>
  <si>
    <t>PVML</t>
  </si>
  <si>
    <t>PPDP</t>
  </si>
  <si>
    <t>Dana Pensiun PT BPD Kalimantan Selatan</t>
  </si>
  <si>
    <t>PT Sarana Kalsel Ventura</t>
  </si>
  <si>
    <t>PPE Ebus</t>
  </si>
  <si>
    <t>Manajer Investasi</t>
  </si>
  <si>
    <t>Perusahaan Efek</t>
  </si>
  <si>
    <t>PT BNI sekuritas</t>
  </si>
  <si>
    <t>PT Gadai Sangat Jaya</t>
  </si>
  <si>
    <t>PT Gadai Mega Sentosa</t>
  </si>
  <si>
    <t>Kota/Kab</t>
  </si>
  <si>
    <t>Kota Banjarmasin</t>
  </si>
  <si>
    <t>Kota Banjarbaru</t>
  </si>
  <si>
    <t>Kab. Tanah Laut</t>
  </si>
  <si>
    <t>Kab. Hulu Sungai Selatan</t>
  </si>
  <si>
    <t>Kab. Banjar</t>
  </si>
  <si>
    <t>Kab. Kotabaru</t>
  </si>
  <si>
    <t>Kab. Batulicin</t>
  </si>
  <si>
    <t>Kab. Balangan</t>
  </si>
  <si>
    <t>Kab. Tabalong</t>
  </si>
  <si>
    <t>Kab. Hulu Sungai Utara</t>
  </si>
  <si>
    <t>Kab. Tapin</t>
  </si>
  <si>
    <t>Tanggal Mulai</t>
  </si>
  <si>
    <t>Tanggal Selesai</t>
  </si>
  <si>
    <t>APERD</t>
  </si>
  <si>
    <t>Nama Bank / Kegiatan Pengawasan</t>
  </si>
  <si>
    <t>PT 1 - Total Schedule per Bulan</t>
  </si>
  <si>
    <t>Row Labels</t>
  </si>
  <si>
    <t>Januari</t>
  </si>
  <si>
    <t>Februari</t>
  </si>
  <si>
    <t>Maret</t>
  </si>
  <si>
    <t>April</t>
  </si>
  <si>
    <t>Mei</t>
  </si>
  <si>
    <t>Juni</t>
  </si>
  <si>
    <t>Juli</t>
  </si>
  <si>
    <t>Agustus</t>
  </si>
  <si>
    <t>September</t>
  </si>
  <si>
    <t>Oktober</t>
  </si>
  <si>
    <t>November</t>
  </si>
  <si>
    <t>Grand Total</t>
  </si>
  <si>
    <t>PT 2 - Frekuensi Kegiatan per PUJK</t>
  </si>
  <si>
    <t>PT 4 - Frekuensi Kegiatan per Sektor</t>
  </si>
  <si>
    <t>PT 6 - Distribusi Jenis Kegiatan</t>
  </si>
  <si>
    <t>PT 7 - Rekap Kegiatan per Kuartal</t>
  </si>
  <si>
    <t>PT 8 - Workload Supervisor</t>
  </si>
  <si>
    <t>PT 9 - Status Kegiatan per Bulan</t>
  </si>
  <si>
    <t>Kategori_PUJK</t>
  </si>
  <si>
    <t>Kategori_Kota</t>
  </si>
  <si>
    <t>Kategori_Sektor</t>
  </si>
  <si>
    <t>Kategori_LJK</t>
  </si>
  <si>
    <t>Kategori_JenisKegiatan</t>
  </si>
  <si>
    <t>Kategori_Supervisor</t>
  </si>
  <si>
    <t>Jumlah Kegiatan</t>
  </si>
  <si>
    <t>Column Labels</t>
  </si>
  <si>
    <t>Jumlah PUJK</t>
  </si>
  <si>
    <t>PT 3 - Frekuensi Kegiatan per Kota Kab</t>
  </si>
  <si>
    <t>Jumlah Kota/Kab</t>
  </si>
  <si>
    <t>Jumlah Sektor</t>
  </si>
  <si>
    <t>PT 5 - Frekuensi Kegiatan per LJK</t>
  </si>
  <si>
    <t>Jumlah LJK</t>
  </si>
  <si>
    <t>Jumlah Status</t>
  </si>
  <si>
    <t>Kategori_PUJK2</t>
  </si>
  <si>
    <t>Kategori_Kota2</t>
  </si>
  <si>
    <t>Kategori_Sektor2</t>
  </si>
  <si>
    <t>Kategori_LJK2</t>
  </si>
  <si>
    <t>Kategori_JenisKegiatan2</t>
  </si>
  <si>
    <t>Kategori_Supervisor2</t>
  </si>
  <si>
    <t>Kategori_PUJK3</t>
  </si>
  <si>
    <t>Kategori_Kota3</t>
  </si>
  <si>
    <t>Kategori_Sektor3</t>
  </si>
  <si>
    <t>Kategori_LJK3</t>
  </si>
  <si>
    <t>Kategori_JenisKegiatan3</t>
  </si>
  <si>
    <t>Kategori_Supervisor3</t>
  </si>
  <si>
    <t>PT Bank Perekonomian Rakyat Tapin Sejahtera Perseroda</t>
  </si>
  <si>
    <t>Pemeriksaan Umum PT BPR Tapin Sejahtera</t>
  </si>
  <si>
    <t>PT BPR Tapin Sejahtera Perseroda</t>
  </si>
  <si>
    <t>Pemeriksaan Umum Dana Pensiun BPD Kalsel</t>
  </si>
  <si>
    <t>Recycling IJK</t>
  </si>
  <si>
    <t>Prudential Meeting 10 BPR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</si>
</sst>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21]dd\ mmmm\ yyyy;@"/>
  </numFmts>
  <fonts count="14" x14ac:knownFonts="1">
    <font>
      <sz val="11"/>
      <color theme="1"/>
      <name val="Calibri"/>
      <family val="2"/>
      <scheme val="minor"/>
    </font>
    <font>
      <b/>
      <sz val="12"/>
      <color theme="1"/>
      <name val="Bookman Old Style"/>
      <family val="1"/>
    </font>
    <font>
      <b/>
      <sz val="12"/>
      <color theme="0"/>
      <name val="Bookman Old Style"/>
      <family val="1"/>
    </font>
    <font>
      <sz val="11"/>
      <color theme="1"/>
      <name val="Bookman Old Style"/>
      <family val="1"/>
    </font>
    <font>
      <b/>
      <sz val="11"/>
      <color theme="1"/>
      <name val="Bookman Old Style"/>
      <family val="1"/>
    </font>
    <font>
      <b/>
      <sz val="11"/>
      <color rgb="FFC00000"/>
      <name val="Bookman Old Style"/>
      <family val="1"/>
    </font>
    <font>
      <sz val="8"/>
      <name val="Calibri"/>
      <family val="2"/>
      <scheme val="minor"/>
    </font>
    <font>
      <sz val="11"/>
      <color rgb="FFC00000"/>
      <name val="Bookman Old Style"/>
      <family val="1"/>
    </font>
    <font>
      <sz val="11"/>
      <color rgb="FFC00000"/>
      <name val="Calibri"/>
      <family val="2"/>
      <scheme val="minor"/>
    </font>
    <font>
      <b/>
      <sz val="11"/>
      <color rgb="FFFF0000"/>
      <name val="Bookman Old Style"/>
      <family val="1"/>
    </font>
    <font>
      <sz val="11"/>
      <color rgb="FFFF0000"/>
      <name val="Bookman Old Style"/>
      <family val="1"/>
    </font>
    <font>
      <sz val="10"/>
      <color rgb="FF000000"/>
      <name val="Calibri"/>
      <family val="2"/>
      <scheme val="minor"/>
    </font>
    <font>
      <b/>
      <sz val="11"/>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rgb="FFC00000"/>
        <bgColor rgb="FFC00000"/>
      </patternFill>
    </fill>
    <fill>
      <patternFill patternType="solid">
        <fgColor rgb="FFD0D0D0"/>
        <bgColor rgb="FFD0D0D0"/>
      </patternFill>
    </fill>
    <fill>
      <patternFill patternType="solid">
        <fgColor theme="8" tint="0.59999389629810485"/>
        <bgColor indexed="64"/>
      </patternFill>
    </fill>
    <fill>
      <patternFill patternType="solid">
        <fgColor theme="6" tint="0.39997558519241921"/>
        <bgColor indexed="64"/>
      </patternFill>
    </fill>
    <fill>
      <patternFill patternType="solid">
        <fgColor theme="6" tint="0.39997558519241921"/>
        <bgColor rgb="FFD0D0D0"/>
      </patternFill>
    </fill>
    <fill>
      <patternFill patternType="solid">
        <fgColor theme="0"/>
        <bgColor indexed="64"/>
      </patternFill>
    </fill>
    <fill>
      <patternFill patternType="solid">
        <fgColor theme="4" tint="0.79998168889431442"/>
        <bgColor indexed="64"/>
      </patternFill>
    </fill>
    <fill>
      <patternFill patternType="solid">
        <fgColor rgb="FFFFFF00"/>
        <bgColor indexed="64"/>
      </patternFill>
    </fill>
    <fill>
      <patternFill patternType="solid">
        <fgColor theme="3" tint="0.79998168889431442"/>
        <bgColor indexed="64"/>
      </patternFill>
    </fill>
  </fills>
  <borders count="11">
    <border>
      <left/>
      <right/>
      <top/>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style="thin">
        <color rgb="FF000000"/>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2">
    <xf numFmtId="0" fontId="0" fillId="0" borderId="0"/>
    <xf numFmtId="0" fontId="11" fillId="0" borderId="0"/>
  </cellStyleXfs>
  <cellXfs count="72">
    <xf numFmtId="0" fontId="0" fillId="0" borderId="0" xfId="0"/>
    <xf numFmtId="0" fontId="3" fillId="0" borderId="3" xfId="0" applyFont="1" applyBorder="1" applyAlignment="1">
      <alignment horizontal="center" vertical="center" wrapText="1"/>
    </xf>
    <xf numFmtId="0" fontId="3" fillId="0" borderId="3" xfId="0" applyFont="1" applyBorder="1" applyAlignment="1">
      <alignment horizontal="left" vertical="center" wrapText="1"/>
    </xf>
    <xf numFmtId="0" fontId="4" fillId="0" borderId="3" xfId="0" applyFont="1" applyBorder="1" applyAlignment="1">
      <alignment horizontal="center" vertical="center" wrapText="1"/>
    </xf>
    <xf numFmtId="0" fontId="5" fillId="3" borderId="3" xfId="0" quotePrefix="1" applyFont="1" applyFill="1" applyBorder="1" applyAlignment="1">
      <alignment horizontal="left" vertical="center"/>
    </xf>
    <xf numFmtId="0" fontId="3" fillId="3" borderId="3" xfId="0" applyFont="1" applyFill="1" applyBorder="1" applyAlignment="1">
      <alignment horizontal="center"/>
    </xf>
    <xf numFmtId="0" fontId="3" fillId="3" borderId="3" xfId="0" applyFont="1" applyFill="1" applyBorder="1" applyAlignment="1">
      <alignment horizontal="center" vertical="center" wrapText="1"/>
    </xf>
    <xf numFmtId="0" fontId="3" fillId="0" borderId="3" xfId="0" quotePrefix="1" applyFont="1" applyBorder="1" applyAlignment="1">
      <alignment horizontal="left" vertical="center" wrapText="1"/>
    </xf>
    <xf numFmtId="0" fontId="4" fillId="0" borderId="3" xfId="0" applyFont="1" applyBorder="1" applyAlignment="1">
      <alignment horizontal="left" vertical="center" wrapText="1"/>
    </xf>
    <xf numFmtId="0" fontId="4" fillId="0" borderId="3" xfId="0" quotePrefix="1" applyFont="1" applyBorder="1" applyAlignment="1">
      <alignment horizontal="left" vertical="center" wrapText="1"/>
    </xf>
    <xf numFmtId="0" fontId="2" fillId="2" borderId="4" xfId="0" applyFont="1" applyFill="1" applyBorder="1" applyAlignment="1">
      <alignment horizontal="center" vertical="center" wrapText="1"/>
    </xf>
    <xf numFmtId="0" fontId="3" fillId="0" borderId="6" xfId="0" applyFont="1" applyBorder="1" applyAlignment="1">
      <alignment horizontal="center" vertical="center" wrapText="1"/>
    </xf>
    <xf numFmtId="0" fontId="2" fillId="2" borderId="8" xfId="0" applyFont="1" applyFill="1" applyBorder="1" applyAlignment="1">
      <alignment vertical="center" wrapText="1"/>
    </xf>
    <xf numFmtId="0" fontId="2" fillId="2" borderId="9" xfId="0" applyFont="1" applyFill="1" applyBorder="1" applyAlignment="1">
      <alignment horizontal="center" vertical="center"/>
    </xf>
    <xf numFmtId="0" fontId="2" fillId="2" borderId="10" xfId="0" applyFont="1" applyFill="1" applyBorder="1" applyAlignment="1">
      <alignment horizontal="center" vertical="center"/>
    </xf>
    <xf numFmtId="0" fontId="2" fillId="2" borderId="10" xfId="0" applyFont="1" applyFill="1" applyBorder="1" applyAlignment="1">
      <alignment horizontal="center" vertical="center" wrapText="1"/>
    </xf>
    <xf numFmtId="0" fontId="3" fillId="0" borderId="7" xfId="0" applyFont="1" applyBorder="1" applyAlignment="1">
      <alignment horizontal="center" vertical="center" wrapText="1"/>
    </xf>
    <xf numFmtId="0" fontId="3" fillId="0" borderId="2" xfId="0" applyFont="1" applyBorder="1" applyAlignment="1">
      <alignment horizontal="left" vertical="center" wrapText="1"/>
    </xf>
    <xf numFmtId="0" fontId="3" fillId="0" borderId="2" xfId="0" applyFont="1" applyBorder="1" applyAlignment="1">
      <alignment horizontal="center" vertical="center" wrapText="1"/>
    </xf>
    <xf numFmtId="0" fontId="3" fillId="5" borderId="6" xfId="0" applyFont="1" applyFill="1" applyBorder="1" applyAlignment="1">
      <alignment horizontal="center" vertical="center" wrapText="1"/>
    </xf>
    <xf numFmtId="0" fontId="5" fillId="6" borderId="3" xfId="0" quotePrefix="1" applyFont="1" applyFill="1" applyBorder="1" applyAlignment="1">
      <alignment horizontal="left" vertical="center"/>
    </xf>
    <xf numFmtId="0" fontId="3" fillId="6" borderId="3" xfId="0" applyFont="1" applyFill="1" applyBorder="1" applyAlignment="1">
      <alignment horizontal="center"/>
    </xf>
    <xf numFmtId="0" fontId="3" fillId="6" borderId="3" xfId="0" applyFont="1" applyFill="1" applyBorder="1" applyAlignment="1">
      <alignment horizontal="center" vertical="center" wrapText="1"/>
    </xf>
    <xf numFmtId="0" fontId="0" fillId="5" borderId="0" xfId="0" applyFill="1"/>
    <xf numFmtId="0" fontId="7" fillId="5" borderId="6" xfId="0" applyFont="1" applyFill="1" applyBorder="1" applyAlignment="1">
      <alignment horizontal="center" vertical="center" wrapText="1"/>
    </xf>
    <xf numFmtId="0" fontId="5" fillId="5" borderId="3" xfId="0" quotePrefix="1" applyFont="1" applyFill="1" applyBorder="1" applyAlignment="1">
      <alignment horizontal="left" vertical="center"/>
    </xf>
    <xf numFmtId="0" fontId="7" fillId="5" borderId="3" xfId="0" applyFont="1" applyFill="1" applyBorder="1" applyAlignment="1">
      <alignment horizontal="left" vertical="center" wrapText="1"/>
    </xf>
    <xf numFmtId="0" fontId="7" fillId="5" borderId="3" xfId="0" applyFont="1" applyFill="1" applyBorder="1" applyAlignment="1">
      <alignment horizontal="center" vertical="center" wrapText="1"/>
    </xf>
    <xf numFmtId="0" fontId="8" fillId="5" borderId="0" xfId="0" applyFont="1" applyFill="1"/>
    <xf numFmtId="0" fontId="0" fillId="0" borderId="0" xfId="0" applyAlignment="1">
      <alignment wrapText="1"/>
    </xf>
    <xf numFmtId="0" fontId="9" fillId="0" borderId="3" xfId="0" applyFont="1" applyBorder="1" applyAlignment="1">
      <alignment horizontal="left" vertical="center" wrapText="1"/>
    </xf>
    <xf numFmtId="0" fontId="10" fillId="0" borderId="3" xfId="0" applyFont="1" applyBorder="1" applyAlignment="1">
      <alignment horizontal="left" vertical="center" wrapText="1"/>
    </xf>
    <xf numFmtId="0" fontId="4" fillId="0" borderId="6" xfId="0" applyFont="1" applyBorder="1" applyAlignment="1">
      <alignment horizontal="center" vertical="center" wrapText="1"/>
    </xf>
    <xf numFmtId="0" fontId="12" fillId="0" borderId="0" xfId="0" applyFont="1"/>
    <xf numFmtId="0" fontId="7" fillId="6" borderId="3" xfId="0" quotePrefix="1" applyFont="1" applyFill="1" applyBorder="1" applyAlignment="1">
      <alignment horizontal="left" vertical="center"/>
    </xf>
    <xf numFmtId="0" fontId="3" fillId="9" borderId="6" xfId="0" applyFont="1" applyFill="1" applyBorder="1" applyAlignment="1">
      <alignment horizontal="center" vertical="center" wrapText="1"/>
    </xf>
    <xf numFmtId="0" fontId="4" fillId="9" borderId="3" xfId="0" applyFont="1" applyFill="1" applyBorder="1" applyAlignment="1">
      <alignment horizontal="left" vertical="center" wrapText="1"/>
    </xf>
    <xf numFmtId="0" fontId="3" fillId="9" borderId="3" xfId="0" applyFont="1" applyFill="1" applyBorder="1" applyAlignment="1">
      <alignment horizontal="left" vertical="center" wrapText="1"/>
    </xf>
    <xf numFmtId="0" fontId="3" fillId="9" borderId="3" xfId="0" quotePrefix="1" applyFont="1" applyFill="1" applyBorder="1" applyAlignment="1">
      <alignment horizontal="left" vertical="center" wrapText="1"/>
    </xf>
    <xf numFmtId="0" fontId="3" fillId="9" borderId="3" xfId="0" applyFont="1" applyFill="1" applyBorder="1" applyAlignment="1">
      <alignment horizontal="center" vertical="center" wrapText="1"/>
    </xf>
    <xf numFmtId="0" fontId="0" fillId="9" borderId="0" xfId="0" applyFill="1"/>
    <xf numFmtId="164" fontId="3" fillId="8" borderId="3" xfId="0" applyNumberFormat="1" applyFont="1" applyFill="1" applyBorder="1" applyAlignment="1">
      <alignment horizontal="center" vertical="center" wrapText="1"/>
    </xf>
    <xf numFmtId="164" fontId="3" fillId="0" borderId="3" xfId="0" applyNumberFormat="1" applyFont="1" applyBorder="1" applyAlignment="1">
      <alignment horizontal="center" vertical="center" wrapText="1"/>
    </xf>
    <xf numFmtId="164" fontId="3" fillId="3" borderId="3" xfId="0" applyNumberFormat="1" applyFont="1" applyFill="1" applyBorder="1" applyAlignment="1">
      <alignment horizontal="center"/>
    </xf>
    <xf numFmtId="164" fontId="3" fillId="6" borderId="3" xfId="0" applyNumberFormat="1" applyFont="1" applyFill="1" applyBorder="1" applyAlignment="1">
      <alignment horizontal="center"/>
    </xf>
    <xf numFmtId="164" fontId="4" fillId="0" borderId="3" xfId="0" applyNumberFormat="1" applyFont="1" applyBorder="1" applyAlignment="1">
      <alignment horizontal="center" vertical="center" wrapText="1"/>
    </xf>
    <xf numFmtId="164" fontId="3" fillId="8" borderId="3" xfId="0" quotePrefix="1" applyNumberFormat="1" applyFont="1" applyFill="1" applyBorder="1" applyAlignment="1">
      <alignment horizontal="center" vertical="center" wrapText="1"/>
    </xf>
    <xf numFmtId="164" fontId="3" fillId="7" borderId="3" xfId="0" quotePrefix="1" applyNumberFormat="1" applyFont="1" applyFill="1" applyBorder="1" applyAlignment="1">
      <alignment horizontal="center" vertical="center" wrapText="1"/>
    </xf>
    <xf numFmtId="164" fontId="3" fillId="7" borderId="3" xfId="0" applyNumberFormat="1" applyFont="1" applyFill="1" applyBorder="1" applyAlignment="1">
      <alignment horizontal="center" vertical="center" wrapText="1"/>
    </xf>
    <xf numFmtId="164" fontId="7" fillId="5" borderId="3" xfId="0" applyNumberFormat="1" applyFont="1" applyFill="1" applyBorder="1" applyAlignment="1">
      <alignment horizontal="center" vertical="center" wrapText="1"/>
    </xf>
    <xf numFmtId="164" fontId="4" fillId="7" borderId="3" xfId="0" applyNumberFormat="1" applyFont="1" applyFill="1" applyBorder="1" applyAlignment="1">
      <alignment horizontal="center" vertical="center" wrapText="1"/>
    </xf>
    <xf numFmtId="164" fontId="3" fillId="4" borderId="3" xfId="0" applyNumberFormat="1" applyFont="1" applyFill="1" applyBorder="1" applyAlignment="1">
      <alignment horizontal="center" vertical="center" wrapText="1"/>
    </xf>
    <xf numFmtId="164" fontId="3" fillId="6" borderId="3" xfId="0" applyNumberFormat="1" applyFont="1" applyFill="1" applyBorder="1" applyAlignment="1">
      <alignment horizontal="center" vertical="center" wrapText="1"/>
    </xf>
    <xf numFmtId="164" fontId="4" fillId="8" borderId="3" xfId="0" applyNumberFormat="1" applyFont="1" applyFill="1" applyBorder="1" applyAlignment="1">
      <alignment horizontal="center" vertical="center" wrapText="1"/>
    </xf>
    <xf numFmtId="164" fontId="3" fillId="9" borderId="3" xfId="0" applyNumberFormat="1" applyFont="1" applyFill="1" applyBorder="1" applyAlignment="1">
      <alignment horizontal="center" vertical="center" wrapText="1"/>
    </xf>
    <xf numFmtId="164" fontId="3" fillId="7" borderId="2" xfId="0" quotePrefix="1" applyNumberFormat="1" applyFont="1" applyFill="1" applyBorder="1" applyAlignment="1">
      <alignment horizontal="center" vertical="center" wrapText="1"/>
    </xf>
    <xf numFmtId="0" fontId="3" fillId="10" borderId="3" xfId="0" applyFont="1" applyFill="1" applyBorder="1" applyAlignment="1">
      <alignment horizontal="center" vertical="center" wrapText="1"/>
    </xf>
    <xf numFmtId="164" fontId="3" fillId="10" borderId="3" xfId="0" quotePrefix="1" applyNumberFormat="1" applyFont="1" applyFill="1" applyBorder="1" applyAlignment="1">
      <alignment horizontal="center" vertical="center" wrapText="1"/>
    </xf>
    <xf numFmtId="164" fontId="3" fillId="10" borderId="3" xfId="0" applyNumberFormat="1" applyFont="1" applyFill="1" applyBorder="1" applyAlignment="1">
      <alignment horizontal="center" vertical="center" wrapText="1"/>
    </xf>
    <xf numFmtId="0" fontId="0" fillId="0" borderId="0" xfId="0" pivotButton="1"/>
    <xf numFmtId="0" fontId="0" fillId="0" borderId="0" xfId="0" applyAlignment="1">
      <alignment horizontal="left"/>
    </xf>
    <xf numFmtId="0" fontId="3" fillId="0" borderId="0" xfId="0" applyFont="1" applyAlignment="1">
      <alignment horizontal="center" vertical="center" wrapText="1"/>
    </xf>
    <xf numFmtId="0" fontId="3" fillId="5" borderId="3" xfId="0" applyFont="1" applyFill="1" applyBorder="1" applyAlignment="1">
      <alignment horizontal="center" vertical="center" wrapText="1"/>
    </xf>
    <xf numFmtId="0" fontId="2" fillId="2" borderId="5" xfId="0" applyFont="1" applyFill="1" applyBorder="1" applyAlignment="1">
      <alignment horizontal="center" vertical="center" wrapText="1"/>
    </xf>
    <xf numFmtId="0" fontId="2" fillId="2" borderId="6" xfId="0" applyFont="1" applyFill="1" applyBorder="1" applyAlignment="1">
      <alignment horizontal="center" vertical="center" wrapText="1"/>
    </xf>
    <xf numFmtId="0" fontId="13" fillId="0" borderId="0" xfId="0" applyFont="1"/>
    <xf numFmtId="0" fontId="3" fillId="5" borderId="0" xfId="0" applyFont="1" applyFill="1" applyAlignment="1">
      <alignment horizontal="center" vertical="center" wrapText="1"/>
    </xf>
    <xf numFmtId="0" fontId="3" fillId="9" borderId="0" xfId="0" applyFont="1" applyFill="1" applyAlignment="1">
      <alignment horizontal="center" vertical="center" wrapText="1"/>
    </xf>
    <xf numFmtId="0" fontId="2" fillId="2" borderId="0" xfId="0" applyFont="1" applyFill="1" applyAlignment="1">
      <alignment horizontal="center" vertical="center" wrapText="1"/>
    </xf>
    <xf numFmtId="0" fontId="1" fillId="0" borderId="0" xfId="0" applyFont="1" applyAlignment="1">
      <alignment horizontal="center" vertical="center" wrapText="1"/>
    </xf>
    <xf numFmtId="0" fontId="1" fillId="0" borderId="1" xfId="0" applyFont="1" applyBorder="1" applyAlignment="1">
      <alignment horizontal="center" vertical="center" wrapText="1"/>
    </xf>
    <xf numFmtId="0" fontId="0" fillId="0" borderId="0" xfId="0" applyNumberFormat="1"/>
  </cellXfs>
  <cellStyles count="2">
    <cellStyle name="Normal" xfId="0" builtinId="0"/>
    <cellStyle name="Normal 2" xfId="1" xr:uid="{7297674C-04CD-4703-AA3B-1754B1F0039B}"/>
  </cellStyles>
  <dxfs count="39">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numFmt numFmtId="164" formatCode="[$-421]dd\ mmmm\ yyyy;@"/>
      <border>
        <left style="thin">
          <color rgb="FF000000"/>
        </left>
      </border>
    </dxf>
    <dxf>
      <numFmt numFmtId="164" formatCode="[$-421]dd\ mmmm\ yyyy;@"/>
      <border>
        <right style="thin">
          <color rgb="FF000000"/>
        </right>
      </border>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Bookman Old Style"/>
        <family val="1"/>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Bookman Old Style"/>
        <family val="1"/>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Bookman Old Style"/>
        <family val="1"/>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Bookman Old Style"/>
        <family val="1"/>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Bookman Old Style"/>
        <family val="1"/>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Bookman Old Style"/>
        <family val="1"/>
        <scheme val="none"/>
      </font>
      <alignment horizontal="left" vertical="center" textRotation="0" wrapText="1"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top style="thin">
          <color rgb="FF000000"/>
        </top>
        <bottom style="thin">
          <color rgb="FF000000"/>
        </bottom>
      </border>
    </dxf>
    <dxf>
      <font>
        <b val="0"/>
        <i val="0"/>
        <strike val="0"/>
        <condense val="0"/>
        <extend val="0"/>
        <outline val="0"/>
        <shadow val="0"/>
        <u val="none"/>
        <vertAlign val="baseline"/>
        <sz val="11"/>
        <color theme="1"/>
        <name val="Bookman Old Style"/>
        <family val="1"/>
        <scheme val="none"/>
      </font>
      <alignment horizontal="center" vertical="center" textRotation="0" wrapText="1" indent="0" justifyLastLine="0" shrinkToFit="0" readingOrder="0"/>
    </dxf>
    <dxf>
      <font>
        <b/>
        <i val="0"/>
        <strike val="0"/>
        <condense val="0"/>
        <extend val="0"/>
        <outline val="0"/>
        <shadow val="0"/>
        <u val="none"/>
        <vertAlign val="baseline"/>
        <sz val="12"/>
        <color theme="0"/>
        <name val="Bookman Old Style"/>
        <family val="1"/>
        <scheme val="none"/>
      </font>
      <fill>
        <patternFill patternType="solid">
          <fgColor rgb="FFC00000"/>
          <bgColor rgb="FFC00000"/>
        </patternFill>
      </fill>
      <alignment horizontal="center" vertical="center" textRotation="0" wrapText="1" indent="0" justifyLastLine="0" shrinkToFit="0" readingOrder="0"/>
    </dxf>
    <dxf>
      <font>
        <color theme="2" tint="-0.749961851863155"/>
      </font>
      <fill>
        <patternFill>
          <bgColor theme="2" tint="-9.9948118533890809E-2"/>
        </patternFill>
      </fill>
    </dxf>
    <dxf>
      <font>
        <color rgb="FFFF6600"/>
      </font>
      <fill>
        <patternFill>
          <bgColor rgb="FFFFC000"/>
        </patternFill>
      </fill>
    </dxf>
    <dxf>
      <font>
        <color rgb="FF006100"/>
      </font>
      <fill>
        <patternFill>
          <bgColor rgb="FFC6EFCE"/>
        </patternFill>
      </fill>
    </dxf>
    <dxf>
      <font>
        <b/>
        <i val="0"/>
        <color theme="0"/>
      </font>
      <fill>
        <patternFill>
          <bgColor rgb="FFC00000"/>
        </patternFill>
      </fill>
      <border>
        <vertical/>
        <horizontal/>
      </border>
    </dxf>
    <dxf>
      <font>
        <color rgb="FF9C0006"/>
      </font>
      <fill>
        <patternFill>
          <bgColor rgb="FFFFC7CE"/>
        </patternFill>
      </fill>
    </dxf>
  </dxfs>
  <tableStyles count="0" defaultTableStyle="TableStyleMedium2" defaultPivotStyle="PivotStyleLight16"/>
  <colors>
    <mruColors>
      <color rgb="FFFF6600"/>
      <color rgb="FFFF9933"/>
      <color rgb="FF9999FF"/>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8</xdr:col>
      <xdr:colOff>114300</xdr:colOff>
      <xdr:row>1</xdr:row>
      <xdr:rowOff>123825</xdr:rowOff>
    </xdr:from>
    <xdr:to>
      <xdr:col>9</xdr:col>
      <xdr:colOff>452437</xdr:colOff>
      <xdr:row>4</xdr:row>
      <xdr:rowOff>142875</xdr:rowOff>
    </xdr:to>
    <xdr:sp macro="[0]!PivotBuilder1.BuildAllPivots" textlink="">
      <xdr:nvSpPr>
        <xdr:cNvPr id="2" name="Arrow: Pentagon 1">
          <a:extLst>
            <a:ext uri="{FF2B5EF4-FFF2-40B4-BE49-F238E27FC236}">
              <a16:creationId xmlns:a16="http://schemas.microsoft.com/office/drawing/2014/main" id="{B0644EBE-A136-F9DD-50EF-D11BC4C8D49E}"/>
            </a:ext>
          </a:extLst>
        </xdr:cNvPr>
        <xdr:cNvSpPr/>
      </xdr:nvSpPr>
      <xdr:spPr>
        <a:xfrm>
          <a:off x="21640800" y="314325"/>
          <a:ext cx="2386012" cy="590550"/>
        </a:xfrm>
        <a:prstGeom prst="homePlate">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latin typeface="Bookman Old Style" panose="02050604050505020204" pitchFamily="18" charset="0"/>
            </a:rPr>
            <a:t>PIVOT</a:t>
          </a:r>
          <a:endParaRPr lang="id-ID" sz="2400" b="1">
            <a:latin typeface="Bookman Old Style" panose="02050604050505020204" pitchFamily="18" charset="0"/>
          </a:endParaRPr>
        </a:p>
      </xdr:txBody>
    </xdr:sp>
    <xdr:clientData/>
  </xdr:twoCellAnchor>
  <xdr:twoCellAnchor>
    <xdr:from>
      <xdr:col>8</xdr:col>
      <xdr:colOff>138266</xdr:colOff>
      <xdr:row>5</xdr:row>
      <xdr:rowOff>153629</xdr:rowOff>
    </xdr:from>
    <xdr:to>
      <xdr:col>9</xdr:col>
      <xdr:colOff>460887</xdr:colOff>
      <xdr:row>8</xdr:row>
      <xdr:rowOff>122903</xdr:rowOff>
    </xdr:to>
    <xdr:sp macro="" textlink="">
      <xdr:nvSpPr>
        <xdr:cNvPr id="3" name="Arrow: Pentagon 2">
          <a:extLst>
            <a:ext uri="{FF2B5EF4-FFF2-40B4-BE49-F238E27FC236}">
              <a16:creationId xmlns:a16="http://schemas.microsoft.com/office/drawing/2014/main" id="{65EF64FC-90A8-D80A-3A24-B2307E4F85FA}"/>
            </a:ext>
          </a:extLst>
        </xdr:cNvPr>
        <xdr:cNvSpPr/>
      </xdr:nvSpPr>
      <xdr:spPr>
        <a:xfrm>
          <a:off x="21646331" y="1090766"/>
          <a:ext cx="2365887" cy="522339"/>
        </a:xfrm>
        <a:prstGeom prst="homePlate">
          <a:avLst/>
        </a:prstGeom>
        <a:solidFill>
          <a:srgbClr val="C000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latin typeface="Bookman Old Style" panose="02050604050505020204" pitchFamily="18" charset="0"/>
            </a:rPr>
            <a:t>DASHBOARD</a:t>
          </a:r>
          <a:endParaRPr lang="id-ID" sz="2000" b="1">
            <a:latin typeface="Bookman Old Style" panose="02050604050505020204" pitchFamily="18"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DVAN" refreshedDate="46233.665297800922" missingItemsLimit="0" createdVersion="8" refreshedVersion="8" minRefreshableVersion="3" recordCount="94" xr:uid="{06C7ECE9-2859-44D8-9FB2-4D122A8FC8D4}">
  <cacheSource type="worksheet">
    <worksheetSource ref="A4:AE98" sheet="DATA"/>
  </cacheSource>
  <cacheFields count="31">
    <cacheField name="No" numFmtId="0">
      <sharedItems containsSemiMixedTypes="0" containsString="0" containsNumber="1" containsInteger="1" minValue="1" maxValue="94"/>
    </cacheField>
    <cacheField name="Nama Bank / Kegiatan Pengawasan" numFmtId="0">
      <sharedItems/>
    </cacheField>
    <cacheField name="Nama PUJK" numFmtId="0">
      <sharedItems containsBlank="1"/>
    </cacheField>
    <cacheField name="Kota/Kab" numFmtId="0">
      <sharedItems containsBlank="1"/>
    </cacheField>
    <cacheField name="Sektor" numFmtId="0">
      <sharedItems containsBlank="1"/>
    </cacheField>
    <cacheField name="Jenis LJK" numFmtId="0">
      <sharedItems containsBlank="1"/>
    </cacheField>
    <cacheField name="Jenis Kegiatan" numFmtId="0">
      <sharedItems containsBlank="1"/>
    </cacheField>
    <cacheField name="Kuartal (Q)" numFmtId="0">
      <sharedItems containsBlank="1" count="5">
        <s v="Q1"/>
        <m/>
        <s v="Q2"/>
        <s v="Q3"/>
        <s v="Q4"/>
      </sharedItems>
    </cacheField>
    <cacheField name="Bulan" numFmtId="0">
      <sharedItems containsBlank="1" count="13">
        <s v="Januari"/>
        <m/>
        <s v="Februari"/>
        <s v="Maret"/>
        <s v="April"/>
        <s v="Mei"/>
        <s v="Juni"/>
        <s v="Juli"/>
        <s v="Agustus"/>
        <s v=""/>
        <s v="September"/>
        <s v="Oktober"/>
        <s v="November"/>
      </sharedItems>
    </cacheField>
    <cacheField name="Tanggal Mulai" numFmtId="164">
      <sharedItems containsNonDate="0" containsDate="1" containsString="0" containsBlank="1" minDate="2026-01-13T00:00:00" maxDate="2026-11-19T00:00:00"/>
    </cacheField>
    <cacheField name="Tanggal Selesai" numFmtId="164">
      <sharedItems containsNonDate="0" containsDate="1" containsString="0" containsBlank="1" minDate="2026-01-13T00:00:00" maxDate="2026-11-19T00:00:00"/>
    </cacheField>
    <cacheField name="Supervisor" numFmtId="0">
      <sharedItems containsBlank="1"/>
    </cacheField>
    <cacheField name="Status Kegiatan" numFmtId="0">
      <sharedItems containsBlank="1" count="4">
        <s v="Selesai"/>
        <m/>
        <s v="On Progress"/>
        <s v="Belum Mulai"/>
      </sharedItems>
    </cacheField>
    <cacheField name="Kategori_PUJK" numFmtId="0">
      <sharedItems containsBlank="1" count="10">
        <s v="Lainnya"/>
        <s v="PT BPD Kalimantan Selatan"/>
        <m/>
        <s v="PT BPR Gawisabumi Mandarsari"/>
        <s v="PT Sarana Kalsel Ventura"/>
        <s v="PT BPR Sanggam Cipta Sejahtera Balangan"/>
        <s v="PT BPR Tabalong Bersinar"/>
        <s v="PT Gadai Mega Sentosa"/>
        <s v="PT Gadai Sangat Jaya"/>
        <s v="PT BNI sekuritas"/>
      </sharedItems>
    </cacheField>
    <cacheField name="Kategori_Kota" numFmtId="0">
      <sharedItems containsBlank="1" count="13">
        <s v="Kab. Banjar"/>
        <s v="Kab. Hulu Sungai Utara"/>
        <s v="Kota Banjarmasin"/>
        <m/>
        <s v="Kota Banjarbaru"/>
        <s v="Kab. Tanah Laut"/>
        <s v="Kab. Hulu Sungai Selatan"/>
        <s v="Kab. Kotabaru"/>
        <s v="Kab. Batulicin"/>
        <s v="Kab. Balangan"/>
        <s v="Kab. Tabalong"/>
        <s v="Kab. Tapin"/>
        <s v="Lainnya"/>
      </sharedItems>
    </cacheField>
    <cacheField name="Kategori_Sektor" numFmtId="0">
      <sharedItems containsBlank="1" count="5">
        <s v="Perbankan"/>
        <s v="PVML"/>
        <m/>
        <s v="PPDP"/>
        <s v="Lainnya"/>
      </sharedItems>
    </cacheField>
    <cacheField name="Kategori_LJK" numFmtId="0">
      <sharedItems containsBlank="1" count="11">
        <s v="PPE Ebus"/>
        <s v="BPR"/>
        <s v="Lainnya"/>
        <s v="Bank Umum"/>
        <m/>
        <s v="Dana Pensiun"/>
        <s v="Modal Ventura"/>
        <s v="BPRS"/>
        <s v="APERD"/>
        <s v="Manajer Investasi"/>
        <s v="Perusahaan Efek"/>
      </sharedItems>
    </cacheField>
    <cacheField name="Kategori_JenisKegiatan" numFmtId="0">
      <sharedItems containsBlank="1" count="8">
        <s v="Prudential Meeting"/>
        <s v="Pemeriksaan Umum"/>
        <m/>
        <s v="KYBFI"/>
        <s v="Penyusunan LHP"/>
        <s v="Evaluasi Kinerja"/>
        <s v="Pengerjaan TKS"/>
        <s v="Penyusunan RBBR"/>
      </sharedItems>
    </cacheField>
    <cacheField name="Kategori_Supervisor" numFmtId="0">
      <sharedItems containsBlank="1" count="3">
        <s v="Kirbani"/>
        <s v="Satrio Aji Nugroho"/>
        <m/>
      </sharedItems>
    </cacheField>
    <cacheField name="Kategori_PUJK2" numFmtId="0">
      <sharedItems containsBlank="1"/>
    </cacheField>
    <cacheField name="Kategori_Kota2" numFmtId="0">
      <sharedItems containsBlank="1"/>
    </cacheField>
    <cacheField name="Kategori_Sektor2" numFmtId="0">
      <sharedItems containsBlank="1"/>
    </cacheField>
    <cacheField name="Kategori_LJK2" numFmtId="0">
      <sharedItems containsBlank="1"/>
    </cacheField>
    <cacheField name="Kategori_JenisKegiatan2" numFmtId="0">
      <sharedItems containsBlank="1"/>
    </cacheField>
    <cacheField name="Kategori_Supervisor2" numFmtId="0">
      <sharedItems containsBlank="1"/>
    </cacheField>
    <cacheField name="Kategori_PUJK3" numFmtId="0">
      <sharedItems containsBlank="1"/>
    </cacheField>
    <cacheField name="Kategori_Kota3" numFmtId="0">
      <sharedItems containsBlank="1"/>
    </cacheField>
    <cacheField name="Kategori_Sektor3" numFmtId="0">
      <sharedItems containsBlank="1"/>
    </cacheField>
    <cacheField name="Kategori_LJK3" numFmtId="0">
      <sharedItems containsBlank="1"/>
    </cacheField>
    <cacheField name="Kategori_JenisKegiatan3" numFmtId="0">
      <sharedItems containsBlank="1"/>
    </cacheField>
    <cacheField name="Kategori_Supervisor3"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4">
  <r>
    <n v="1"/>
    <s v="Prudential Meeting RBB PT BPR Multidhana Bersama"/>
    <s v="PT BPR Multidhana Bersama"/>
    <s v="Kab. Banjar"/>
    <s v="Perbankan"/>
    <s v="PPE Ebus"/>
    <s v="Prudential Meeting"/>
    <x v="0"/>
    <x v="0"/>
    <d v="2026-01-13T00:00:00"/>
    <d v="2026-01-13T00:00:00"/>
    <s v="Kirbani"/>
    <x v="0"/>
    <x v="0"/>
    <x v="0"/>
    <x v="0"/>
    <x v="0"/>
    <x v="0"/>
    <x v="0"/>
    <s v="Lainnya"/>
    <s v="Kab. Banjar"/>
    <s v="Perbankan"/>
    <s v="PPE Ebus"/>
    <s v="Prudential Meeting"/>
    <s v="Kirbani"/>
    <s v="Lainnya"/>
    <s v="Kab. Banjar"/>
    <s v="Perbankan"/>
    <s v="PPE Ebus"/>
    <s v="Prudential Meeting"/>
    <s v="Kirbani"/>
  </r>
  <r>
    <n v="2"/>
    <s v="Prudential Meeting RBB PT BPR Candi Agung Amuntai"/>
    <s v="PT BPR Candi Agung Amuntai"/>
    <s v="Kab. Hulu Sungai Utara"/>
    <s v="Perbankan"/>
    <s v="BPR"/>
    <s v="Prudential Meeting"/>
    <x v="0"/>
    <x v="0"/>
    <d v="2026-01-14T00:00:00"/>
    <d v="2026-01-14T00:00:00"/>
    <s v="Satrio Aji Nugroho"/>
    <x v="0"/>
    <x v="0"/>
    <x v="1"/>
    <x v="0"/>
    <x v="1"/>
    <x v="0"/>
    <x v="1"/>
    <s v="Lainnya"/>
    <s v="Kab. Hulu Sungai Utara"/>
    <s v="Perbankan"/>
    <s v="BPR"/>
    <s v="Prudential Meeting"/>
    <s v="Satrio Aji Nugroho"/>
    <s v="Lainnya"/>
    <s v="Kab. Hulu Sungai Utara"/>
    <s v="Perbankan"/>
    <s v="BPR"/>
    <s v="Prudential Meeting"/>
    <s v="Satrio Aji Nugroho"/>
  </r>
  <r>
    <n v="3"/>
    <s v="PT Bank Perekonomian Rakyat Danapermata Lestari"/>
    <s v="PT BPR Danapermata Lestari"/>
    <s v="Kota Banjarmasin"/>
    <s v="Perbankan"/>
    <s v="BPR"/>
    <s v="Pemeriksaan Umum"/>
    <x v="0"/>
    <x v="0"/>
    <d v="2026-01-14T00:00:00"/>
    <d v="2026-01-14T00:00:00"/>
    <s v="Kirbani"/>
    <x v="0"/>
    <x v="0"/>
    <x v="2"/>
    <x v="0"/>
    <x v="1"/>
    <x v="1"/>
    <x v="0"/>
    <s v="Lainnya"/>
    <s v="Kota Banjarmasin"/>
    <s v="Perbankan"/>
    <s v="BPR"/>
    <s v="Pemeriksaan Umum"/>
    <s v="Kirbani"/>
    <s v="Lainnya"/>
    <s v="Kota Banjarmasin"/>
    <s v="Perbankan"/>
    <s v="BPR"/>
    <s v="Pemeriksaan Umum"/>
    <s v="Kirbani"/>
  </r>
  <r>
    <n v="4"/>
    <s v="Prudential Meeting RBB Jamkrida Kalsel"/>
    <s v="PT Jamkrida Kalsel"/>
    <s v="Kota Banjarmasin"/>
    <s v="PVML"/>
    <s v="Jamkrida"/>
    <s v="Prudential Meeting"/>
    <x v="0"/>
    <x v="0"/>
    <d v="2026-01-15T00:00:00"/>
    <d v="2026-01-15T00:00:00"/>
    <s v="Satrio Aji Nugroho"/>
    <x v="0"/>
    <x v="0"/>
    <x v="2"/>
    <x v="1"/>
    <x v="2"/>
    <x v="0"/>
    <x v="1"/>
    <s v="Lainnya"/>
    <s v="Kota Banjarmasin"/>
    <s v="PVML"/>
    <s v="Lainnya"/>
    <s v="Prudential Meeting"/>
    <s v="Satrio Aji Nugroho"/>
    <s v="Lainnya"/>
    <s v="Kota Banjarmasin"/>
    <s v="PVML"/>
    <s v="Lainnya"/>
    <s v="Prudential Meeting"/>
    <s v="Satrio Aji Nugroho"/>
  </r>
  <r>
    <n v="5"/>
    <s v="Prudential Meeting RBB PT BPD Kalimantan Selatan (Post Audit Monitoring)"/>
    <s v="PT BPD Kalimantan Selatan"/>
    <s v="Kota Banjarmasin"/>
    <s v="Perbankan"/>
    <s v="Bank Umum"/>
    <s v="Prudential Meeting"/>
    <x v="0"/>
    <x v="0"/>
    <d v="2026-01-15T00:00:00"/>
    <d v="2026-01-15T00:00:00"/>
    <s v="Kirbani"/>
    <x v="0"/>
    <x v="1"/>
    <x v="2"/>
    <x v="0"/>
    <x v="3"/>
    <x v="0"/>
    <x v="0"/>
    <s v="PT BPD Kalimantan Selatan"/>
    <s v="Kota Banjarmasin"/>
    <s v="Perbankan"/>
    <s v="Bank Umum"/>
    <s v="Prudential Meeting"/>
    <s v="Kirbani"/>
    <s v="PT BPD Kalimantan Selatan"/>
    <s v="Kota Banjarmasin"/>
    <s v="Perbankan"/>
    <s v="Bank Umum"/>
    <s v="Prudential Meeting"/>
    <s v="Kirbani"/>
  </r>
  <r>
    <n v="6"/>
    <s v="16 Januari 2026 -  Isra' Miraj"/>
    <m/>
    <m/>
    <m/>
    <m/>
    <m/>
    <x v="1"/>
    <x v="1"/>
    <m/>
    <m/>
    <m/>
    <x v="1"/>
    <x v="2"/>
    <x v="3"/>
    <x v="2"/>
    <x v="4"/>
    <x v="2"/>
    <x v="2"/>
    <m/>
    <m/>
    <m/>
    <m/>
    <m/>
    <m/>
    <m/>
    <m/>
    <m/>
    <m/>
    <m/>
    <m/>
  </r>
  <r>
    <n v="7"/>
    <s v="PT BPR Gawisabumi Mandarsari"/>
    <s v="PT BPR Gawisabumi Mandarsari"/>
    <s v="Kota Banjarbaru"/>
    <s v="Perbankan"/>
    <s v="BPR"/>
    <s v="Pemeriksaan Umum"/>
    <x v="0"/>
    <x v="0"/>
    <d v="2026-01-19T00:00:00"/>
    <d v="2026-01-19T00:00:00"/>
    <s v="Kirbani"/>
    <x v="0"/>
    <x v="3"/>
    <x v="4"/>
    <x v="0"/>
    <x v="1"/>
    <x v="1"/>
    <x v="0"/>
    <s v="PT BPR Gawisabumi Mandarsari"/>
    <s v="Kota Banjarbaru"/>
    <s v="Perbankan"/>
    <s v="BPR"/>
    <s v="Pemeriksaan Umum"/>
    <s v="Kirbani"/>
    <s v="PT BPR Gawisabumi Mandarsari"/>
    <s v="Kota Banjarbaru"/>
    <s v="Perbankan"/>
    <s v="BPR"/>
    <s v="Pemeriksaan Umum"/>
    <s v="Kirbani"/>
  </r>
  <r>
    <n v="8"/>
    <s v="Dana Pensiun BPD Kalsel "/>
    <s v="PT BPD Kalimantan Selatan"/>
    <s v="Kota Banjarmasin"/>
    <s v="Perbankan"/>
    <s v="Dana Pensiun"/>
    <s v="Pemeriksaan Umum"/>
    <x v="0"/>
    <x v="0"/>
    <d v="2026-01-19T00:00:00"/>
    <d v="2026-01-19T00:00:00"/>
    <s v="Satrio Aji Nugroho"/>
    <x v="0"/>
    <x v="1"/>
    <x v="2"/>
    <x v="0"/>
    <x v="5"/>
    <x v="1"/>
    <x v="1"/>
    <s v="PT BPD Kalimantan Selatan"/>
    <s v="Kota Banjarmasin"/>
    <s v="Perbankan"/>
    <s v="Dana Pensiun"/>
    <s v="Pemeriksaan Umum"/>
    <s v="Satrio Aji Nugroho"/>
    <s v="PT BPD Kalimantan Selatan"/>
    <s v="Kota Banjarmasin"/>
    <s v="Perbankan"/>
    <s v="Dana Pensiun"/>
    <s v="Pemeriksaan Umum"/>
    <s v="Satrio Aji Nugroho"/>
  </r>
  <r>
    <n v="9"/>
    <s v="Sarana Kalsel Ventura"/>
    <s v="PT Sarana Kalsel Ventura"/>
    <s v="Kota Banjarmasin"/>
    <s v="PVML"/>
    <s v="Modal Ventura"/>
    <s v="Pemeriksaan Umum"/>
    <x v="0"/>
    <x v="0"/>
    <d v="2026-01-19T00:00:00"/>
    <d v="2026-01-19T00:00:00"/>
    <s v="Kirbani"/>
    <x v="0"/>
    <x v="4"/>
    <x v="2"/>
    <x v="1"/>
    <x v="6"/>
    <x v="1"/>
    <x v="0"/>
    <s v="PT Sarana Kalsel Ventura"/>
    <s v="Kota Banjarmasin"/>
    <s v="PVML"/>
    <s v="Modal Ventura"/>
    <s v="Pemeriksaan Umum"/>
    <s v="Kirbani"/>
    <s v="PT Sarana Kalsel Ventura"/>
    <s v="Kota Banjarmasin"/>
    <s v="PVML"/>
    <s v="Modal Ventura"/>
    <s v="Pemeriksaan Umum"/>
    <s v="Kirbani"/>
  </r>
  <r>
    <n v="10"/>
    <s v="Prudential Meeting RBB PT Bank Perekonomian Rakyat Tanah Laut"/>
    <s v="PT BPR Tanah Laut"/>
    <s v="Kab. Tanah Laut"/>
    <s v="Perbankan"/>
    <s v="BPR"/>
    <s v="Prudential Meeting"/>
    <x v="0"/>
    <x v="0"/>
    <d v="2026-01-20T00:00:00"/>
    <d v="2026-01-20T00:00:00"/>
    <s v="Satrio Aji Nugroho"/>
    <x v="0"/>
    <x v="0"/>
    <x v="5"/>
    <x v="2"/>
    <x v="1"/>
    <x v="0"/>
    <x v="1"/>
    <s v="Lainnya"/>
    <s v="Kab. Tanah Laut"/>
    <s v="Perbankan"/>
    <s v="BPR"/>
    <s v="Prudential Meeting"/>
    <s v="Satrio Aji Nugroho"/>
    <s v="Lainnya"/>
    <s v="Kab. Tanah Laut"/>
    <s v="Perbankan"/>
    <s v="BPR"/>
    <s v="Prudential Meeting"/>
    <s v="Satrio Aji Nugroho"/>
  </r>
  <r>
    <n v="11"/>
    <s v="PT Bank Perekonomian Rakyat Hulu Sungai Selatan Perseroda"/>
    <s v="PT BPR Hulu Sungai Selatan Perseroda"/>
    <s v="Kab. Hulu Sungai Selatan"/>
    <s v="Perbankan"/>
    <s v="BPR"/>
    <s v="Pemeriksaan Umum"/>
    <x v="0"/>
    <x v="0"/>
    <d v="2026-01-20T00:00:00"/>
    <d v="2026-01-20T00:00:00"/>
    <s v="Satrio Aji Nugroho"/>
    <x v="0"/>
    <x v="0"/>
    <x v="6"/>
    <x v="0"/>
    <x v="1"/>
    <x v="1"/>
    <x v="1"/>
    <s v="Lainnya"/>
    <s v="Kab. Hulu Sungai Selatan"/>
    <s v="Perbankan"/>
    <s v="BPR"/>
    <s v="Pemeriksaan Umum"/>
    <s v="Satrio Aji Nugroho"/>
    <s v="Lainnya"/>
    <s v="Kab. Hulu Sungai Selatan"/>
    <s v="Perbankan"/>
    <s v="BPR"/>
    <s v="Pemeriksaan Umum"/>
    <s v="Satrio Aji Nugroho"/>
  </r>
  <r>
    <n v="12"/>
    <s v="PT Bank Perekonomian Rakyat Martapura Banjar Sejahtera Perseroda"/>
    <s v="PT BPR Martapura Banjar Sejahtera Perseroda"/>
    <s v="Kab. Banjar"/>
    <s v="Perbankan"/>
    <s v="BPR"/>
    <s v="Pemeriksaan Umum"/>
    <x v="0"/>
    <x v="0"/>
    <d v="2026-01-20T00:00:00"/>
    <d v="2026-01-20T00:00:00"/>
    <s v="Kirbani"/>
    <x v="0"/>
    <x v="0"/>
    <x v="0"/>
    <x v="0"/>
    <x v="1"/>
    <x v="1"/>
    <x v="0"/>
    <s v="Lainnya"/>
    <s v="Kab. Banjar"/>
    <s v="Perbankan"/>
    <s v="BPR"/>
    <s v="Pemeriksaan Umum"/>
    <s v="Kirbani"/>
    <s v="Lainnya"/>
    <s v="Kab. Banjar"/>
    <s v="Perbankan"/>
    <s v="BPR"/>
    <s v="Pemeriksaan Umum"/>
    <s v="Kirbani"/>
  </r>
  <r>
    <n v="13"/>
    <s v="PT Bank Perekonomian Rakyat Bank Kotabaru Perseroda"/>
    <s v="PT BPR Bank Kotabaru Perseroda"/>
    <s v="Kab. Kotabaru"/>
    <m/>
    <s v="BPR"/>
    <s v="Pemeriksaan Umum"/>
    <x v="0"/>
    <x v="0"/>
    <d v="2026-01-21T00:00:00"/>
    <d v="2026-01-21T00:00:00"/>
    <s v="Satrio Aji Nugroho"/>
    <x v="0"/>
    <x v="0"/>
    <x v="7"/>
    <x v="2"/>
    <x v="1"/>
    <x v="1"/>
    <x v="1"/>
    <s v="Lainnya"/>
    <s v="Kab. Kotabaru"/>
    <m/>
    <s v="BPR"/>
    <s v="Pemeriksaan Umum"/>
    <s v="Satrio Aji Nugroho"/>
    <s v="Lainnya"/>
    <s v="Kab. Kotabaru"/>
    <m/>
    <s v="BPR"/>
    <s v="Pemeriksaan Umum"/>
    <s v="Satrio Aji Nugroho"/>
  </r>
  <r>
    <n v="14"/>
    <s v="PT Bank Perekonomian Rakyat Azaz Andifa"/>
    <s v="PT BPR Azaz Andifa"/>
    <s v="Kab. Batulicin"/>
    <s v="Perbankan"/>
    <s v="BPR"/>
    <s v="Pemeriksaan Umum"/>
    <x v="0"/>
    <x v="0"/>
    <d v="2026-01-21T00:00:00"/>
    <d v="2026-01-21T00:00:00"/>
    <s v="Kirbani"/>
    <x v="0"/>
    <x v="0"/>
    <x v="8"/>
    <x v="0"/>
    <x v="1"/>
    <x v="1"/>
    <x v="0"/>
    <s v="Lainnya"/>
    <s v="Kab. Batulicin"/>
    <s v="Perbankan"/>
    <s v="BPR"/>
    <s v="Pemeriksaan Umum"/>
    <s v="Kirbani"/>
    <s v="Lainnya"/>
    <s v="Kab. Batulicin"/>
    <s v="Perbankan"/>
    <s v="BPR"/>
    <s v="Pemeriksaan Umum"/>
    <s v="Kirbani"/>
  </r>
  <r>
    <n v="15"/>
    <s v="PT Bank Perekonomian Rakyat Kredit Mandiri Kalsel"/>
    <s v="PT BPR Kredit Mandiri Kalsel"/>
    <s v="Kota Banjarbaru"/>
    <s v="Perbankan"/>
    <s v="BPR"/>
    <s v="Pemeriksaan Umum"/>
    <x v="0"/>
    <x v="0"/>
    <d v="2026-01-22T00:00:00"/>
    <d v="2026-01-22T00:00:00"/>
    <s v="Kirbani"/>
    <x v="0"/>
    <x v="0"/>
    <x v="4"/>
    <x v="0"/>
    <x v="1"/>
    <x v="1"/>
    <x v="0"/>
    <s v="Lainnya"/>
    <s v="Kota Banjarbaru"/>
    <s v="Perbankan"/>
    <s v="BPR"/>
    <s v="Pemeriksaan Umum"/>
    <s v="Kirbani"/>
    <s v="Lainnya"/>
    <s v="Kota Banjarbaru"/>
    <s v="Perbankan"/>
    <s v="BPR"/>
    <s v="Pemeriksaan Umum"/>
    <s v="Kirbani"/>
  </r>
  <r>
    <n v="16"/>
    <s v="PT Bank Perekonomian Rakyat Mitratama Arthabuana"/>
    <s v="PT BPR Mitratama Arthabuana"/>
    <s v="Kab. Banjar"/>
    <s v="Perbankan"/>
    <s v="BPR"/>
    <s v="Pemeriksaan Umum"/>
    <x v="0"/>
    <x v="0"/>
    <d v="2026-01-22T00:00:00"/>
    <d v="2026-01-22T00:00:00"/>
    <s v="Kirbani"/>
    <x v="0"/>
    <x v="0"/>
    <x v="0"/>
    <x v="0"/>
    <x v="1"/>
    <x v="1"/>
    <x v="0"/>
    <s v="Lainnya"/>
    <s v="Kab. Banjar"/>
    <s v="Perbankan"/>
    <s v="BPR"/>
    <s v="Pemeriksaan Umum"/>
    <s v="Kirbani"/>
    <s v="Lainnya"/>
    <s v="Kab. Banjar"/>
    <s v="Perbankan"/>
    <s v="BPR"/>
    <s v="Pemeriksaan Umum"/>
    <s v="Kirbani"/>
  </r>
  <r>
    <n v="17"/>
    <s v="PT BPR Sanggam Cipta Sejahtera Balangan"/>
    <s v="PT BPR Sanggam Cipta Sejahtera Balangan"/>
    <s v="Kab. Balangan"/>
    <s v="Perbankan"/>
    <s v="BPR"/>
    <s v="Pemeriksaan Umum"/>
    <x v="0"/>
    <x v="0"/>
    <d v="2026-01-22T00:00:00"/>
    <d v="2026-01-22T00:00:00"/>
    <s v="Kirbani"/>
    <x v="0"/>
    <x v="5"/>
    <x v="9"/>
    <x v="0"/>
    <x v="1"/>
    <x v="1"/>
    <x v="0"/>
    <s v="PT BPR Sanggam Cipta Sejahtera Balangan"/>
    <s v="Kab. Balangan"/>
    <s v="Perbankan"/>
    <s v="BPR"/>
    <s v="Pemeriksaan Umum"/>
    <s v="Kirbani"/>
    <s v="PT BPR Sanggam Cipta Sejahtera Balangan"/>
    <s v="Kab. Balangan"/>
    <s v="Perbankan"/>
    <s v="BPR"/>
    <s v="Pemeriksaan Umum"/>
    <s v="Kirbani"/>
  </r>
  <r>
    <n v="18"/>
    <s v="PT BPRS Barkah Gemadana"/>
    <s v="PT BPRS Barkah Gemadana"/>
    <s v="Kab. Banjar"/>
    <s v="Perbankan"/>
    <s v="BPRS"/>
    <s v="Pemeriksaan Umum"/>
    <x v="0"/>
    <x v="0"/>
    <d v="2026-01-26T00:00:00"/>
    <d v="2026-01-26T00:00:00"/>
    <s v="Satrio Aji Nugroho"/>
    <x v="0"/>
    <x v="0"/>
    <x v="0"/>
    <x v="0"/>
    <x v="7"/>
    <x v="1"/>
    <x v="1"/>
    <s v="Lainnya"/>
    <s v="Kab. Banjar"/>
    <s v="Perbankan"/>
    <s v="BPRS"/>
    <s v="Pemeriksaan Umum"/>
    <s v="Satrio Aji Nugroho"/>
    <s v="Lainnya"/>
    <s v="Kab. Banjar"/>
    <s v="Perbankan"/>
    <s v="BPRS"/>
    <s v="Pemeriksaan Umum"/>
    <s v="Satrio Aji Nugroho"/>
  </r>
  <r>
    <n v="19"/>
    <s v="PT BPR Tabalong Bersinar"/>
    <s v="PT BPR Tabalong Bersinar"/>
    <s v="Kab. Tabalong"/>
    <s v="Perbankan"/>
    <s v="BPR"/>
    <s v="Pemeriksaan Umum"/>
    <x v="0"/>
    <x v="0"/>
    <d v="2026-01-27T00:00:00"/>
    <d v="2026-01-27T00:00:00"/>
    <s v="Satrio Aji Nugroho"/>
    <x v="0"/>
    <x v="6"/>
    <x v="10"/>
    <x v="0"/>
    <x v="1"/>
    <x v="1"/>
    <x v="1"/>
    <s v="PT BPR Tabalong Bersinar"/>
    <s v="Kab. Tabalong"/>
    <s v="Perbankan"/>
    <s v="BPR"/>
    <s v="Pemeriksaan Umum"/>
    <s v="Satrio Aji Nugroho"/>
    <s v="PT BPR Tabalong Bersinar"/>
    <s v="Kab. Tabalong"/>
    <s v="Perbankan"/>
    <s v="BPR"/>
    <s v="Pemeriksaan Umum"/>
    <s v="Satrio Aji Nugroho"/>
  </r>
  <r>
    <n v="20"/>
    <s v="PT Bank Perekonomian Rakyat Tapin Sejahtera Perseroda"/>
    <s v="PT BPR Tapin Sejahtera Perseroda "/>
    <s v="Kab. Tapin"/>
    <s v="Perbankan"/>
    <s v="BPR"/>
    <s v="Pemeriksaan Umum"/>
    <x v="0"/>
    <x v="0"/>
    <d v="2026-01-28T00:00:00"/>
    <d v="2026-01-28T00:00:00"/>
    <s v="Kirbani"/>
    <x v="0"/>
    <x v="0"/>
    <x v="11"/>
    <x v="0"/>
    <x v="1"/>
    <x v="1"/>
    <x v="0"/>
    <s v="Lainnya"/>
    <s v="Kab. Tapin"/>
    <s v="Perbankan"/>
    <s v="BPR"/>
    <s v="Pemeriksaan Umum"/>
    <s v="Kirbani"/>
    <s v="Lainnya"/>
    <s v="Kab. Tapin"/>
    <s v="Perbankan"/>
    <s v="BPR"/>
    <s v="Pemeriksaan Umum"/>
    <s v="Kirbani"/>
  </r>
  <r>
    <n v="21"/>
    <s v="Penyusunan KYB/FI BPR"/>
    <s v="Lainnya"/>
    <s v="Lainnya"/>
    <s v="Perbankan"/>
    <s v="BPR"/>
    <s v="KYBFI"/>
    <x v="0"/>
    <x v="0"/>
    <d v="2026-01-26T00:00:00"/>
    <d v="2026-01-30T00:00:00"/>
    <s v="Satrio Aji Nugroho"/>
    <x v="0"/>
    <x v="0"/>
    <x v="12"/>
    <x v="0"/>
    <x v="1"/>
    <x v="3"/>
    <x v="1"/>
    <s v="Lainnya"/>
    <s v="Lainnya"/>
    <s v="Perbankan"/>
    <s v="BPR"/>
    <s v="KYBFI"/>
    <s v="Satrio Aji Nugroho"/>
    <s v="Lainnya"/>
    <s v="Lainnya"/>
    <s v="Perbankan"/>
    <s v="BPR"/>
    <s v="KYBFI"/>
    <s v="Satrio Aji Nugroho"/>
  </r>
  <r>
    <n v="22"/>
    <s v="KYBBPR (Approval)"/>
    <s v="Lainnya"/>
    <m/>
    <s v="Perbankan"/>
    <s v="BPR"/>
    <s v="KYBFI"/>
    <x v="0"/>
    <x v="0"/>
    <d v="2026-01-29T00:00:00"/>
    <d v="2026-01-30T00:00:00"/>
    <s v="Kirbani"/>
    <x v="0"/>
    <x v="0"/>
    <x v="3"/>
    <x v="0"/>
    <x v="1"/>
    <x v="3"/>
    <x v="0"/>
    <s v="Lainnya"/>
    <m/>
    <s v="Perbankan"/>
    <s v="BPR"/>
    <s v="KYBFI"/>
    <s v="Kirbani"/>
    <s v="Lainnya"/>
    <m/>
    <s v="Perbankan"/>
    <s v="BPR"/>
    <s v="KYBFI"/>
    <s v="Kirbani"/>
  </r>
  <r>
    <n v="23"/>
    <s v="LHP PT BPD Kalimantan Selatan"/>
    <s v="PT BPD Kalimantan Selatan"/>
    <s v="Kota Banjarmasin"/>
    <s v="Perbankan"/>
    <s v="Bank Umum"/>
    <s v="Penyusunan LHP"/>
    <x v="0"/>
    <x v="0"/>
    <d v="2026-01-30T00:00:00"/>
    <d v="2026-01-30T00:00:00"/>
    <s v="Kirbani"/>
    <x v="0"/>
    <x v="1"/>
    <x v="2"/>
    <x v="0"/>
    <x v="3"/>
    <x v="4"/>
    <x v="0"/>
    <s v="PT BPD Kalimantan Selatan"/>
    <s v="Kota Banjarmasin"/>
    <s v="Perbankan"/>
    <s v="Bank Umum"/>
    <s v="Penyusunan LHP"/>
    <s v="Kirbani"/>
    <s v="PT BPD Kalimantan Selatan"/>
    <s v="Kota Banjarmasin"/>
    <s v="Perbankan"/>
    <s v="Bank Umum"/>
    <s v="Penyusunan LHP"/>
    <s v="Kirbani"/>
  </r>
  <r>
    <n v="24"/>
    <s v="Prudential Meeting RBB PT BPD Kalimantan Selatan (RBB)"/>
    <s v="PT BPD Kalimantan Selatan"/>
    <s v="Kota Banjarmasin"/>
    <s v="Perbankan"/>
    <s v="Bank Umum"/>
    <s v="Prudential Meeting"/>
    <x v="0"/>
    <x v="2"/>
    <d v="2026-02-03T00:00:00"/>
    <d v="2026-02-03T00:00:00"/>
    <s v="Satrio Aji Nugroho"/>
    <x v="0"/>
    <x v="1"/>
    <x v="2"/>
    <x v="0"/>
    <x v="3"/>
    <x v="0"/>
    <x v="1"/>
    <s v="PT BPD Kalimantan Selatan"/>
    <s v="Kota Banjarmasin"/>
    <s v="Perbankan"/>
    <s v="Bank Umum"/>
    <s v="Prudential Meeting"/>
    <s v="Satrio Aji Nugroho"/>
    <s v="PT BPD Kalimantan Selatan"/>
    <s v="Kota Banjarmasin"/>
    <s v="Perbankan"/>
    <s v="Bank Umum"/>
    <s v="Prudential Meeting"/>
    <s v="Satrio Aji Nugroho"/>
  </r>
  <r>
    <n v="25"/>
    <s v="Evaluasi Kinerja se-Kalimantan"/>
    <s v="Lainnya"/>
    <s v="Lainnya"/>
    <m/>
    <m/>
    <s v="Evaluasi Kinerja"/>
    <x v="0"/>
    <x v="2"/>
    <d v="2026-02-09T00:00:00"/>
    <d v="2026-02-13T00:00:00"/>
    <s v="Kirbani"/>
    <x v="0"/>
    <x v="2"/>
    <x v="12"/>
    <x v="2"/>
    <x v="4"/>
    <x v="5"/>
    <x v="0"/>
    <s v="Lainnya"/>
    <s v="Lainnya"/>
    <m/>
    <m/>
    <s v="Evaluasi Kinerja"/>
    <s v="Kirbani"/>
    <s v="Lainnya"/>
    <s v="Lainnya"/>
    <m/>
    <m/>
    <s v="Evaluasi Kinerja"/>
    <s v="Kirbani"/>
  </r>
  <r>
    <n v="26"/>
    <s v="KYB Bank Kalsel Semester II Tahun 2025"/>
    <s v="PT BPD Kalimantan Selatan"/>
    <s v="Kota Banjarmasin"/>
    <s v="Perbankan"/>
    <s v="Bank Umum"/>
    <s v="KYBFI"/>
    <x v="0"/>
    <x v="2"/>
    <d v="2026-02-09T00:00:00"/>
    <d v="2026-02-13T00:00:00"/>
    <s v="Satrio Aji Nugroho"/>
    <x v="0"/>
    <x v="1"/>
    <x v="2"/>
    <x v="0"/>
    <x v="3"/>
    <x v="3"/>
    <x v="1"/>
    <s v="PT BPD Kalimantan Selatan"/>
    <s v="Kota Banjarmasin"/>
    <s v="Perbankan"/>
    <s v="Bank Umum"/>
    <s v="KYBFI"/>
    <s v="Satrio Aji Nugroho"/>
    <s v="PT BPD Kalimantan Selatan"/>
    <s v="Kota Banjarmasin"/>
    <s v="Perbankan"/>
    <s v="Bank Umum"/>
    <s v="KYBFI"/>
    <s v="Satrio Aji Nugroho"/>
  </r>
  <r>
    <n v="27"/>
    <s v="Pengerjaan TKS BPR"/>
    <s v="Lainnya"/>
    <s v="Lainnya"/>
    <s v="Perbankan"/>
    <s v="BPR"/>
    <s v="Pengerjaan TKS"/>
    <x v="0"/>
    <x v="2"/>
    <d v="2026-02-09T00:00:00"/>
    <d v="2026-02-13T00:00:00"/>
    <s v="Kirbani"/>
    <x v="0"/>
    <x v="2"/>
    <x v="12"/>
    <x v="0"/>
    <x v="1"/>
    <x v="6"/>
    <x v="0"/>
    <m/>
    <s v="Lainnya"/>
    <s v="Perbankan"/>
    <s v="BPR"/>
    <s v="Pengerjaan TKS"/>
    <s v="Kirbani"/>
    <m/>
    <s v="Lainnya"/>
    <s v="Perbankan"/>
    <s v="BPR"/>
    <s v="Pengerjaan TKS"/>
    <s v="Kirbani"/>
  </r>
  <r>
    <n v="28"/>
    <s v="Pengerjaan TKS RBBR BPR"/>
    <s v="Lainnya"/>
    <s v="Lainnya"/>
    <s v="Perbankan"/>
    <s v="BPR"/>
    <s v="Pengerjaan TKS"/>
    <x v="0"/>
    <x v="2"/>
    <d v="2026-02-09T00:00:00"/>
    <d v="2026-02-20T00:00:00"/>
    <s v="Kirbani"/>
    <x v="0"/>
    <x v="2"/>
    <x v="3"/>
    <x v="0"/>
    <x v="1"/>
    <x v="6"/>
    <x v="0"/>
    <s v="Lainnya"/>
    <s v="Lainnya"/>
    <s v="Perbankan"/>
    <s v="BPR"/>
    <s v="Pengerjaan TKS"/>
    <s v="Kirbani"/>
    <s v="Lainnya"/>
    <s v="Lainnya"/>
    <s v="Perbankan"/>
    <s v="BPR"/>
    <s v="Pengerjaan TKS"/>
    <s v="Kirbani"/>
  </r>
  <r>
    <n v="29"/>
    <s v="Pengerjaan TKS Bank Kalsel Semester II Tahun 2025"/>
    <s v="PT BPD Kalimantan Selatan"/>
    <s v="Kota Banjarmasin"/>
    <s v="Perbankan"/>
    <s v="Bank Umum"/>
    <s v="Pengerjaan TKS"/>
    <x v="0"/>
    <x v="2"/>
    <d v="2026-02-18T00:00:00"/>
    <d v="2026-02-20T00:00:00"/>
    <s v="Kirbani"/>
    <x v="0"/>
    <x v="1"/>
    <x v="2"/>
    <x v="0"/>
    <x v="3"/>
    <x v="6"/>
    <x v="0"/>
    <s v="PT BPD Kalimantan Selatan"/>
    <s v="Kota Banjarmasin"/>
    <s v="Perbankan"/>
    <s v="Bank Umum"/>
    <s v="Pengerjaan TKS"/>
    <s v="Kirbani"/>
    <s v="PT BPD Kalimantan Selatan"/>
    <s v="Kota Banjarmasin"/>
    <s v="Perbankan"/>
    <s v="Bank Umum"/>
    <s v="Pengerjaan TKS"/>
    <s v="Kirbani"/>
  </r>
  <r>
    <n v="30"/>
    <s v="16 Februari 2026 - Cuti Bersama"/>
    <m/>
    <m/>
    <m/>
    <m/>
    <m/>
    <x v="1"/>
    <x v="1"/>
    <m/>
    <m/>
    <m/>
    <x v="1"/>
    <x v="2"/>
    <x v="3"/>
    <x v="2"/>
    <x v="4"/>
    <x v="2"/>
    <x v="2"/>
    <m/>
    <m/>
    <m/>
    <m/>
    <m/>
    <m/>
    <m/>
    <m/>
    <m/>
    <m/>
    <m/>
    <m/>
  </r>
  <r>
    <n v="31"/>
    <s v="17 Februari 2026 - Tahun Baru Imlek"/>
    <m/>
    <m/>
    <m/>
    <m/>
    <m/>
    <x v="1"/>
    <x v="1"/>
    <m/>
    <m/>
    <m/>
    <x v="1"/>
    <x v="2"/>
    <x v="3"/>
    <x v="2"/>
    <x v="4"/>
    <x v="2"/>
    <x v="2"/>
    <m/>
    <m/>
    <m/>
    <m/>
    <m/>
    <m/>
    <m/>
    <m/>
    <m/>
    <m/>
    <m/>
    <m/>
  </r>
  <r>
    <n v="32"/>
    <s v="Pemeriksaan Umum PT BPRS Barkah Gemadana"/>
    <s v="PT BPRS Barkah Gemadana"/>
    <s v="Kab. Banjar"/>
    <s v="Perbankan"/>
    <s v="BPRS"/>
    <s v="Pemeriksaan Umum"/>
    <x v="0"/>
    <x v="2"/>
    <d v="2026-02-23T00:00:00"/>
    <d v="2026-02-27T00:00:00"/>
    <s v="Satrio Aji Nugroho"/>
    <x v="0"/>
    <x v="0"/>
    <x v="0"/>
    <x v="0"/>
    <x v="7"/>
    <x v="1"/>
    <x v="1"/>
    <s v="Lainnya"/>
    <s v="Kab. Banjar"/>
    <s v="Perbankan"/>
    <s v="BPRS"/>
    <s v="Pemeriksaan Umum"/>
    <s v="Satrio Aji Nugroho"/>
    <s v="Lainnya"/>
    <s v="Kab. Banjar"/>
    <s v="Perbankan"/>
    <s v="BPRS"/>
    <s v="Pemeriksaan Umum"/>
    <s v="Satrio Aji Nugroho"/>
  </r>
  <r>
    <n v="33"/>
    <s v="Pemeriksaan Umum PT BPR Martapura Banjar Sejahtera"/>
    <s v="PT BPR Martapura Banjar Sejahtera"/>
    <s v="Kab. Banjar"/>
    <s v="Perbankan"/>
    <s v="BPR"/>
    <s v="Pemeriksaan Umum"/>
    <x v="0"/>
    <x v="2"/>
    <d v="2026-02-23T00:00:00"/>
    <d v="2026-02-27T00:00:00"/>
    <s v="Satrio Aji Nugroho"/>
    <x v="0"/>
    <x v="0"/>
    <x v="0"/>
    <x v="0"/>
    <x v="1"/>
    <x v="1"/>
    <x v="1"/>
    <s v="Lainnya"/>
    <s v="Kab. Banjar"/>
    <s v="Perbankan"/>
    <s v="BPR"/>
    <s v="Pemeriksaan Umum"/>
    <s v="Satrio Aji Nugroho"/>
    <s v="Lainnya"/>
    <s v="Kab. Banjar"/>
    <s v="Perbankan"/>
    <s v="BPR"/>
    <s v="Pemeriksaan Umum"/>
    <s v="Satrio Aji Nugroho"/>
  </r>
  <r>
    <n v="34"/>
    <s v="LHP BPRS Barkah Gemadana (MIZ) dan BPR MBS (KZ)"/>
    <s v="PT BPRS Barkah Gemadana"/>
    <s v="Kab. Banjar"/>
    <s v="Perbankan"/>
    <s v="BPRS"/>
    <s v="Penyusunan LHP"/>
    <x v="0"/>
    <x v="3"/>
    <d v="2026-03-02T00:00:00"/>
    <d v="2026-03-06T00:00:00"/>
    <s v="Satrio Aji Nugroho"/>
    <x v="0"/>
    <x v="0"/>
    <x v="0"/>
    <x v="0"/>
    <x v="7"/>
    <x v="4"/>
    <x v="1"/>
    <s v="Lainnya"/>
    <s v="Kab. Banjar"/>
    <s v="Perbankan"/>
    <s v="BPRS"/>
    <s v="Penyusunan LHP"/>
    <s v="Satrio Aji Nugroho"/>
    <s v="Lainnya"/>
    <s v="Kab. Banjar"/>
    <s v="Perbankan"/>
    <s v="BPRS"/>
    <s v="Penyusunan LHP"/>
    <s v="Satrio Aji Nugroho"/>
  </r>
  <r>
    <n v="35"/>
    <s v="Pemeriksaan Umum PT BPR Azaz Andifa"/>
    <s v="PT BPR Azaz Andifa"/>
    <s v="Kab. Batulicin"/>
    <m/>
    <s v="BPR"/>
    <s v="Pemeriksaan Umum"/>
    <x v="0"/>
    <x v="3"/>
    <d v="2026-03-02T00:00:00"/>
    <d v="2026-03-06T00:00:00"/>
    <s v="Kirbani"/>
    <x v="0"/>
    <x v="0"/>
    <x v="8"/>
    <x v="2"/>
    <x v="1"/>
    <x v="1"/>
    <x v="0"/>
    <s v="Lainnya"/>
    <s v="Kab. Batulicin"/>
    <m/>
    <s v="BPR"/>
    <s v="Pemeriksaan Umum"/>
    <s v="Kirbani"/>
    <s v="Lainnya"/>
    <s v="Kab. Batulicin"/>
    <m/>
    <s v="BPR"/>
    <s v="Pemeriksaan Umum"/>
    <s v="Kirbani"/>
  </r>
  <r>
    <n v="36"/>
    <s v="LHP BPR DPL (FRN)"/>
    <s v="PT BPR Danapermata Lestari"/>
    <s v="Kota Banjarmasin"/>
    <s v="Perbankan"/>
    <s v="BPR"/>
    <s v="Penyusunan LHP"/>
    <x v="0"/>
    <x v="3"/>
    <d v="2026-03-09T00:00:00"/>
    <d v="2026-03-13T00:00:00"/>
    <s v="Kirbani"/>
    <x v="0"/>
    <x v="0"/>
    <x v="2"/>
    <x v="0"/>
    <x v="1"/>
    <x v="4"/>
    <x v="0"/>
    <s v="Lainnya"/>
    <s v="Kota Banjarmasin"/>
    <s v="Perbankan"/>
    <s v="BPR"/>
    <s v="Penyusunan LHP"/>
    <s v="Kirbani"/>
    <s v="Lainnya"/>
    <s v="Kota Banjarmasin"/>
    <s v="Perbankan"/>
    <s v="BPR"/>
    <s v="Penyusunan LHP"/>
    <s v="Kirbani"/>
  </r>
  <r>
    <n v="37"/>
    <s v="18 Maret 2026 s.d. 24 Maret 2026 - Cuti Bersama dan Libur Lebaran"/>
    <m/>
    <m/>
    <m/>
    <m/>
    <m/>
    <x v="1"/>
    <x v="1"/>
    <m/>
    <m/>
    <m/>
    <x v="1"/>
    <x v="2"/>
    <x v="3"/>
    <x v="2"/>
    <x v="4"/>
    <x v="2"/>
    <x v="2"/>
    <m/>
    <m/>
    <m/>
    <m/>
    <m/>
    <m/>
    <m/>
    <m/>
    <m/>
    <m/>
    <m/>
    <m/>
  </r>
  <r>
    <n v="38"/>
    <s v="Pemeriksaan Umum PT BPR Tapin Sejahtera"/>
    <s v="PT BPR Tapin Sejahtera Perseroda"/>
    <s v="Kab. Tapin"/>
    <s v="Perbankan"/>
    <s v="BPR"/>
    <s v="Pemeriksaan Umum"/>
    <x v="2"/>
    <x v="4"/>
    <d v="2026-04-13T00:00:00"/>
    <d v="2026-04-17T00:00:00"/>
    <s v="Kirbani"/>
    <x v="0"/>
    <x v="0"/>
    <x v="11"/>
    <x v="0"/>
    <x v="1"/>
    <x v="1"/>
    <x v="0"/>
    <s v="Lainnya"/>
    <s v="Kab. Tapin"/>
    <s v="Perbankan"/>
    <s v="BPR"/>
    <s v="Pemeriksaan Umum"/>
    <s v="Kirbani"/>
    <s v="Lainnya"/>
    <s v="Kab. Tapin"/>
    <s v="Perbankan"/>
    <s v="BPR"/>
    <s v="Pemeriksaan Umum"/>
    <s v="Kirbani"/>
  </r>
  <r>
    <n v="39"/>
    <s v="Pemeriksaan Umum PT BPR Tanah Laut"/>
    <s v="PT BPR Tanah Laut"/>
    <s v="Kab. Tanah Laut"/>
    <s v="Perbankan"/>
    <s v="BPR"/>
    <s v="Pemeriksaan Umum"/>
    <x v="2"/>
    <x v="4"/>
    <d v="2026-04-13T00:00:00"/>
    <d v="2026-04-17T00:00:00"/>
    <s v="Satrio Aji Nugroho"/>
    <x v="0"/>
    <x v="0"/>
    <x v="5"/>
    <x v="0"/>
    <x v="1"/>
    <x v="1"/>
    <x v="1"/>
    <s v="Lainnya"/>
    <s v="Kab. Tanah Laut"/>
    <s v="Perbankan"/>
    <s v="BPR"/>
    <s v="Pemeriksaan Umum"/>
    <s v="Satrio Aji Nugroho"/>
    <s v="Lainnya"/>
    <s v="Kab. Tanah Laut"/>
    <s v="Perbankan"/>
    <s v="BPR"/>
    <s v="Pemeriksaan Umum"/>
    <s v="Satrio Aji Nugroho"/>
  </r>
  <r>
    <n v="40"/>
    <s v="LHP BPR Tapin (DMZ) dan BPR TALA (KZ)"/>
    <s v="PT BPR Tapin Sejahtera Perseroda"/>
    <s v="Kab. Tapin"/>
    <s v="Perbankan"/>
    <s v="BPR"/>
    <s v="Penyusunan LHP"/>
    <x v="2"/>
    <x v="4"/>
    <d v="2026-04-20T00:00:00"/>
    <d v="2026-04-24T00:00:00"/>
    <s v="Kirbani"/>
    <x v="0"/>
    <x v="0"/>
    <x v="11"/>
    <x v="0"/>
    <x v="1"/>
    <x v="4"/>
    <x v="0"/>
    <s v="Lainnya"/>
    <s v="Kab. Tapin"/>
    <s v="Perbankan"/>
    <s v="BPR"/>
    <s v="Penyusunan LHP"/>
    <s v="Kirbani"/>
    <s v="Lainnya"/>
    <s v="Kab. Tapin"/>
    <s v="Perbankan"/>
    <s v="BPR"/>
    <s v="Penyusunan LHP"/>
    <s v="Kirbani"/>
  </r>
  <r>
    <n v="41"/>
    <s v="APERD Dalam Kota"/>
    <s v="Lainnya"/>
    <s v="Lainnya"/>
    <s v="PVML"/>
    <s v="APERD"/>
    <s v="Pemeriksaan Umum"/>
    <x v="2"/>
    <x v="4"/>
    <d v="2026-04-20T00:00:00"/>
    <d v="2026-04-24T00:00:00"/>
    <s v="Kirbani"/>
    <x v="0"/>
    <x v="0"/>
    <x v="12"/>
    <x v="1"/>
    <x v="8"/>
    <x v="1"/>
    <x v="0"/>
    <s v="Lainnya"/>
    <s v="Lainnya"/>
    <s v="PVML"/>
    <s v="APERD"/>
    <s v="Pemeriksaan Umum"/>
    <s v="Kirbani"/>
    <s v="Lainnya"/>
    <s v="Lainnya"/>
    <s v="PVML"/>
    <s v="APERD"/>
    <s v="Pemeriksaan Umum"/>
    <s v="Kirbani"/>
  </r>
  <r>
    <n v="42"/>
    <s v="LHP APERD (FRN)"/>
    <s v="Lainnya"/>
    <m/>
    <s v="PVML"/>
    <s v="APERD"/>
    <s v="Penyusunan LHP"/>
    <x v="2"/>
    <x v="4"/>
    <d v="2026-04-20T00:00:00"/>
    <d v="2026-04-28T00:00:00"/>
    <s v="Kirbani"/>
    <x v="0"/>
    <x v="0"/>
    <x v="3"/>
    <x v="1"/>
    <x v="8"/>
    <x v="4"/>
    <x v="0"/>
    <s v="Lainnya"/>
    <m/>
    <s v="PVML"/>
    <s v="APERD"/>
    <s v="Penyusunan LHP"/>
    <s v="Kirbani"/>
    <s v="Lainnya"/>
    <m/>
    <s v="PVML"/>
    <s v="APERD"/>
    <s v="Penyusunan LHP"/>
    <s v="Kirbani"/>
  </r>
  <r>
    <n v="43"/>
    <s v="Pemeriksaan Umum Dana Pensiun BPD Kalsel"/>
    <s v="Dana Pensiun PT BPD Kalimantan Selatan"/>
    <s v="Kota Banjarmasin"/>
    <s v="PPDP"/>
    <s v="Dana Pensiun"/>
    <s v="Pemeriksaan Umum"/>
    <x v="2"/>
    <x v="4"/>
    <d v="2026-04-20T00:00:00"/>
    <d v="2026-04-28T00:00:00"/>
    <s v="Satrio Aji Nugroho"/>
    <x v="0"/>
    <x v="0"/>
    <x v="2"/>
    <x v="3"/>
    <x v="5"/>
    <x v="1"/>
    <x v="1"/>
    <s v="Lainnya"/>
    <s v="Kota Banjarmasin"/>
    <s v="PPDP"/>
    <s v="Dana Pensiun"/>
    <s v="Pemeriksaan Umum"/>
    <s v="Satrio Aji Nugroho"/>
    <s v="Lainnya"/>
    <s v="Kota Banjarmasin"/>
    <s v="PPDP"/>
    <s v="Dana Pensiun"/>
    <s v="Pemeriksaan Umum"/>
    <s v="Satrio Aji Nugroho"/>
  </r>
  <r>
    <n v="44"/>
    <s v="Pemeriksaan Umum PT BPR GSM"/>
    <s v="PT BPR Gawisabumi Mandarsari"/>
    <s v="Kota Banjarbaru"/>
    <s v="Perbankan"/>
    <s v="BPR"/>
    <s v="Pemeriksaan Umum"/>
    <x v="2"/>
    <x v="4"/>
    <d v="2026-04-27T00:00:00"/>
    <d v="2026-04-30T00:00:00"/>
    <s v="Satrio Aji Nugroho"/>
    <x v="0"/>
    <x v="3"/>
    <x v="4"/>
    <x v="0"/>
    <x v="1"/>
    <x v="1"/>
    <x v="1"/>
    <s v="PT BPR Gawisabumi Mandarsari"/>
    <s v="Kota Banjarbaru"/>
    <s v="Perbankan"/>
    <s v="BPR"/>
    <s v="Pemeriksaan Umum"/>
    <s v="Satrio Aji Nugroho"/>
    <s v="PT BPR Gawisabumi Mandarsari"/>
    <s v="Kota Banjarbaru"/>
    <s v="Perbankan"/>
    <s v="BPR"/>
    <s v="Pemeriksaan Umum"/>
    <s v="Satrio Aji Nugroho"/>
  </r>
  <r>
    <n v="45"/>
    <s v="LHP BPR DAPEN (KRB-PRB)"/>
    <s v="BPR DAPEN"/>
    <s v="Kab. Kotabaru"/>
    <s v="PPDP"/>
    <s v="Dana Pensiun"/>
    <s v="Penyusunan LHP"/>
    <x v="2"/>
    <x v="4"/>
    <d v="2026-04-28T00:00:00"/>
    <d v="2026-05-05T00:00:00"/>
    <s v="Satrio Aji Nugroho"/>
    <x v="0"/>
    <x v="0"/>
    <x v="7"/>
    <x v="3"/>
    <x v="5"/>
    <x v="4"/>
    <x v="1"/>
    <s v="Lainnya"/>
    <s v="Kab. Kotabaru"/>
    <s v="PPDP"/>
    <s v="Dana Pensiun"/>
    <s v="Penyusunan LHP"/>
    <s v="Satrio Aji Nugroho"/>
    <s v="Lainnya"/>
    <s v="Kab. Kotabaru"/>
    <s v="PPDP"/>
    <s v="Dana Pensiun"/>
    <s v="Penyusunan LHP"/>
    <s v="Satrio Aji Nugroho"/>
  </r>
  <r>
    <n v="46"/>
    <s v="LHP BPR GSM (DMZ)"/>
    <s v="PT BPR Gawisabumi Mandarsari"/>
    <s v="Kota Banjarbaru"/>
    <s v="Perbankan"/>
    <s v="BPR"/>
    <s v="Penyusunan LHP"/>
    <x v="2"/>
    <x v="5"/>
    <d v="2026-05-06T00:00:00"/>
    <d v="2026-05-13T00:00:00"/>
    <s v="Satrio Aji Nugroho"/>
    <x v="0"/>
    <x v="3"/>
    <x v="4"/>
    <x v="0"/>
    <x v="1"/>
    <x v="4"/>
    <x v="1"/>
    <s v="PT BPR Gawisabumi Mandarsari"/>
    <s v="Kota Banjarbaru"/>
    <s v="Perbankan"/>
    <s v="BPR"/>
    <s v="Penyusunan LHP"/>
    <s v="Satrio Aji Nugroho"/>
    <s v="PT BPR Gawisabumi Mandarsari"/>
    <s v="Kota Banjarbaru"/>
    <s v="Perbankan"/>
    <s v="BPR"/>
    <s v="Penyusunan LHP"/>
    <s v="Satrio Aji Nugroho"/>
  </r>
  <r>
    <n v="47"/>
    <s v="Pemeriksaan Umum PT BPR Mitratama Artha Buana"/>
    <s v="PT BPR Mitratama Artha Buana"/>
    <s v="Kab. Banjar"/>
    <s v="Perbankan"/>
    <s v="BPR"/>
    <s v="Pemeriksaan Umum"/>
    <x v="2"/>
    <x v="5"/>
    <d v="2026-05-04T00:00:00"/>
    <d v="2026-05-12T00:00:00"/>
    <s v="Kirbani"/>
    <x v="0"/>
    <x v="0"/>
    <x v="0"/>
    <x v="0"/>
    <x v="1"/>
    <x v="1"/>
    <x v="0"/>
    <s v="Lainnya"/>
    <s v="Kab. Banjar"/>
    <s v="Perbankan"/>
    <s v="BPR"/>
    <s v="Pemeriksaan Umum"/>
    <s v="Kirbani"/>
    <s v="Lainnya"/>
    <s v="Kab. Banjar"/>
    <s v="Perbankan"/>
    <s v="BPR"/>
    <s v="Pemeriksaan Umum"/>
    <s v="Kirbani"/>
  </r>
  <r>
    <n v="48"/>
    <s v="Prudential Meeting RBB PT BPD Kalimantan Selatan (Realisasi RBB TW I/26 &amp; Post Audit Monitoring)"/>
    <s v="PT BPD Kalimantan Selatan"/>
    <s v="Kota Banjarmasin"/>
    <s v="Perbankan"/>
    <s v="Bank Umum"/>
    <s v="Prudential Meeting"/>
    <x v="2"/>
    <x v="5"/>
    <d v="2026-05-12T00:00:00"/>
    <d v="2026-05-12T00:00:00"/>
    <s v="Satrio Aji Nugroho"/>
    <x v="0"/>
    <x v="1"/>
    <x v="2"/>
    <x v="0"/>
    <x v="3"/>
    <x v="0"/>
    <x v="1"/>
    <s v="PT BPD Kalimantan Selatan"/>
    <s v="Kota Banjarmasin"/>
    <s v="Perbankan"/>
    <s v="Bank Umum"/>
    <s v="Prudential Meeting"/>
    <s v="Satrio Aji Nugroho"/>
    <s v="PT BPD Kalimantan Selatan"/>
    <s v="Kota Banjarmasin"/>
    <s v="Perbankan"/>
    <s v="Bank Umum"/>
    <s v="Prudential Meeting"/>
    <s v="Satrio Aji Nugroho"/>
  </r>
  <r>
    <n v="49"/>
    <s v="14 Mei 2026 s.d. 15 Mei 2026 - Cuti Bersama dan Libur Kenaikan Yesus Kristus"/>
    <m/>
    <m/>
    <m/>
    <m/>
    <m/>
    <x v="1"/>
    <x v="1"/>
    <m/>
    <m/>
    <m/>
    <x v="1"/>
    <x v="2"/>
    <x v="3"/>
    <x v="2"/>
    <x v="4"/>
    <x v="2"/>
    <x v="2"/>
    <m/>
    <m/>
    <m/>
    <m/>
    <m/>
    <m/>
    <m/>
    <m/>
    <m/>
    <m/>
    <m/>
    <m/>
  </r>
  <r>
    <n v="50"/>
    <s v="LHP BPR MITRA (PRB)"/>
    <s v="PT BPR Mitratama Arthabuana"/>
    <s v="Kab. Banjar"/>
    <s v="Perbankan"/>
    <s v="BPR"/>
    <s v="Penyusunan LHP"/>
    <x v="2"/>
    <x v="5"/>
    <d v="2026-05-18T00:00:00"/>
    <d v="2026-05-22T00:00:00"/>
    <s v="Kirbani"/>
    <x v="0"/>
    <x v="0"/>
    <x v="0"/>
    <x v="0"/>
    <x v="1"/>
    <x v="4"/>
    <x v="0"/>
    <s v="Lainnya"/>
    <s v="Kab. Banjar"/>
    <s v="Perbankan"/>
    <s v="BPR"/>
    <s v="Penyusunan LHP"/>
    <s v="Kirbani"/>
    <s v="Lainnya"/>
    <s v="Kab. Banjar"/>
    <s v="Perbankan"/>
    <s v="BPR"/>
    <s v="Penyusunan LHP"/>
    <s v="Kirbani"/>
  </r>
  <r>
    <n v="51"/>
    <s v="Pemeriksaan Umum PT BPR Tabalong Bersinar"/>
    <s v=" PT BPR Tabalong Bersinar"/>
    <s v="Kab. Tabalong"/>
    <s v="Perbankan"/>
    <s v="BPR"/>
    <s v="Pemeriksaan Umum"/>
    <x v="2"/>
    <x v="5"/>
    <d v="2026-05-18T00:00:00"/>
    <d v="2026-05-22T00:00:00"/>
    <s v="Kirbani"/>
    <x v="0"/>
    <x v="6"/>
    <x v="10"/>
    <x v="0"/>
    <x v="1"/>
    <x v="1"/>
    <x v="0"/>
    <s v="PT BPR Tabalong Bersinar"/>
    <s v="Kab. Tabalong"/>
    <s v="Perbankan"/>
    <s v="BPR"/>
    <s v="Pemeriksaan Umum"/>
    <s v="Kirbani"/>
    <s v="PT BPR Tabalong Bersinar"/>
    <s v="Kab. Tabalong"/>
    <s v="Perbankan"/>
    <s v="BPR"/>
    <s v="Pemeriksaan Umum"/>
    <s v="Kirbani"/>
  </r>
  <r>
    <n v="52"/>
    <s v="Pemeriksaan Umum PT BPR Sanggam Cipta Sejahtera"/>
    <s v="PT BPR Sanggam Cipta Sejahtera"/>
    <s v="Kab. Balangan"/>
    <s v="Perbankan"/>
    <s v="BPR"/>
    <s v="Pemeriksaan Umum"/>
    <x v="2"/>
    <x v="5"/>
    <d v="2026-05-18T00:00:00"/>
    <d v="2026-05-22T00:00:00"/>
    <s v="Kirbani"/>
    <x v="0"/>
    <x v="0"/>
    <x v="9"/>
    <x v="0"/>
    <x v="1"/>
    <x v="1"/>
    <x v="0"/>
    <s v="Lainnya"/>
    <s v="Kab. Balangan"/>
    <s v="Perbankan"/>
    <s v="BPR"/>
    <s v="Pemeriksaan Umum"/>
    <s v="Kirbani"/>
    <s v="Lainnya"/>
    <s v="Kab. Balangan"/>
    <s v="Perbankan"/>
    <s v="BPR"/>
    <s v="Pemeriksaan Umum"/>
    <s v="Kirbani"/>
  </r>
  <r>
    <n v="53"/>
    <s v="27 Mei 2026 s.d. 28 Mei 2026 - Cuti Bersama dan Libur Idul Adha"/>
    <m/>
    <m/>
    <m/>
    <m/>
    <m/>
    <x v="1"/>
    <x v="1"/>
    <m/>
    <m/>
    <m/>
    <x v="1"/>
    <x v="2"/>
    <x v="3"/>
    <x v="2"/>
    <x v="4"/>
    <x v="2"/>
    <x v="2"/>
    <m/>
    <m/>
    <m/>
    <m/>
    <m/>
    <m/>
    <m/>
    <m/>
    <m/>
    <m/>
    <m/>
    <m/>
  </r>
  <r>
    <n v="54"/>
    <s v="LHP BPR Tabalong Bersinar (DMZ) dan BPR SCS (KZ)"/>
    <s v=" PT BPR Tabalong Bersinar"/>
    <s v="Kab. Tabalong"/>
    <s v="Perbankan"/>
    <s v="BPR"/>
    <s v="Penyusunan LHP"/>
    <x v="2"/>
    <x v="5"/>
    <d v="2026-05-25T00:00:00"/>
    <d v="2026-06-05T00:00:00"/>
    <s v="Satrio Aji Nugroho"/>
    <x v="0"/>
    <x v="6"/>
    <x v="10"/>
    <x v="0"/>
    <x v="1"/>
    <x v="4"/>
    <x v="1"/>
    <s v="PT BPR Tabalong Bersinar"/>
    <s v="Kab. Tabalong"/>
    <s v="Perbankan"/>
    <s v="BPR"/>
    <s v="Penyusunan LHP"/>
    <s v="Satrio Aji Nugroho"/>
    <s v="PT BPR Tabalong Bersinar"/>
    <s v="Kab. Tabalong"/>
    <s v="Perbankan"/>
    <s v="BPR"/>
    <s v="Penyusunan LHP"/>
    <s v="Satrio Aji Nugroho"/>
  </r>
  <r>
    <n v="55"/>
    <s v="Pemeriksaan Umum Gadai Mega Sentosa"/>
    <s v="PT Gadai Mega Sentosa"/>
    <s v="Kota Banjarbaru"/>
    <s v="PVML"/>
    <s v="Pegadaian"/>
    <s v="Pemeriksaan Umum"/>
    <x v="2"/>
    <x v="6"/>
    <d v="2026-06-02T00:00:00"/>
    <d v="2026-06-05T00:00:00"/>
    <s v="Satrio Aji Nugroho"/>
    <x v="0"/>
    <x v="7"/>
    <x v="4"/>
    <x v="1"/>
    <x v="2"/>
    <x v="1"/>
    <x v="1"/>
    <s v="PT Gadai Mega Sentosa"/>
    <s v="Kota Banjarbaru"/>
    <s v="PVML"/>
    <s v="Lainnya"/>
    <s v="Pemeriksaan Umum"/>
    <s v="Satrio Aji Nugroho"/>
    <s v="PT Gadai Mega Sentosa"/>
    <s v="Kota Banjarbaru"/>
    <s v="PVML"/>
    <s v="Lainnya"/>
    <s v="Pemeriksaan Umum"/>
    <s v="Satrio Aji Nugroho"/>
  </r>
  <r>
    <n v="56"/>
    <s v="LHP Gadai Mega Sentosa (PRB)"/>
    <s v="PT Gadai Mega Sentosa"/>
    <s v="Kota Banjarbaru"/>
    <s v="PVML"/>
    <s v="Pegadaian"/>
    <s v="Penyusunan LHP"/>
    <x v="2"/>
    <x v="6"/>
    <d v="2026-06-08T00:00:00"/>
    <d v="2026-06-12T00:00:00"/>
    <s v="Satrio Aji Nugroho"/>
    <x v="0"/>
    <x v="7"/>
    <x v="4"/>
    <x v="1"/>
    <x v="2"/>
    <x v="4"/>
    <x v="1"/>
    <s v="PT Gadai Mega Sentosa"/>
    <s v="Kota Banjarbaru"/>
    <s v="PVML"/>
    <s v="Lainnya"/>
    <s v="Penyusunan LHP"/>
    <s v="Satrio Aji Nugroho"/>
    <s v="PT Gadai Mega Sentosa"/>
    <s v="Kota Banjarbaru"/>
    <s v="PVML"/>
    <s v="Lainnya"/>
    <s v="Penyusunan LHP"/>
    <s v="Satrio Aji Nugroho"/>
  </r>
  <r>
    <n v="57"/>
    <s v="Pemeriksaan Umum PT BPR Hulu Sungai Selatan"/>
    <s v="PT BPR Hulu Sungai Selatan"/>
    <s v="Kab. Hulu Sungai Selatan"/>
    <s v="Perbankan"/>
    <s v="BPR"/>
    <s v="Pemeriksaan Umum"/>
    <x v="2"/>
    <x v="6"/>
    <d v="2026-06-08T00:00:00"/>
    <d v="2026-06-12T00:00:00"/>
    <s v="Kirbani"/>
    <x v="0"/>
    <x v="0"/>
    <x v="6"/>
    <x v="0"/>
    <x v="1"/>
    <x v="1"/>
    <x v="0"/>
    <s v="Lainnya"/>
    <s v="Kab. Hulu Sungai Selatan"/>
    <s v="Perbankan"/>
    <s v="BPR"/>
    <s v="Pemeriksaan Umum"/>
    <s v="Kirbani"/>
    <s v="Lainnya"/>
    <s v="Kab. Hulu Sungai Selatan"/>
    <s v="Perbankan"/>
    <s v="BPR"/>
    <s v="Pemeriksaan Umum"/>
    <s v="Kirbani"/>
  </r>
  <r>
    <n v="58"/>
    <s v="Pemeriksaan Umum PT BPR Dana Permata Lestari"/>
    <s v="PT BPR Dana Permata Lestari"/>
    <s v="Kota Banjarmasin"/>
    <s v="Perbankan"/>
    <s v="BPR"/>
    <s v="Pemeriksaan Umum"/>
    <x v="2"/>
    <x v="6"/>
    <d v="2026-06-08T00:00:00"/>
    <d v="2026-06-12T00:00:00"/>
    <s v="Kirbani"/>
    <x v="0"/>
    <x v="0"/>
    <x v="2"/>
    <x v="0"/>
    <x v="1"/>
    <x v="1"/>
    <x v="0"/>
    <s v="Lainnya"/>
    <s v="Kota Banjarmasin"/>
    <s v="Perbankan"/>
    <s v="BPR"/>
    <s v="Pemeriksaan Umum"/>
    <s v="Kirbani"/>
    <s v="Lainnya"/>
    <s v="Kota Banjarmasin"/>
    <s v="Perbankan"/>
    <s v="BPR"/>
    <s v="Pemeriksaan Umum"/>
    <s v="Kirbani"/>
  </r>
  <r>
    <n v="59"/>
    <s v="LHP HSS (MIZ) dan AZAZ (FRN)"/>
    <s v="Lainnya"/>
    <m/>
    <s v="Perbankan"/>
    <s v="BPR"/>
    <s v="Penyusunan LHP"/>
    <x v="2"/>
    <x v="6"/>
    <d v="2026-06-15T00:00:00"/>
    <d v="2026-06-19T00:00:00"/>
    <s v="Kirbani"/>
    <x v="0"/>
    <x v="0"/>
    <x v="3"/>
    <x v="0"/>
    <x v="1"/>
    <x v="4"/>
    <x v="0"/>
    <s v="Lainnya"/>
    <m/>
    <s v="Perbankan"/>
    <s v="BPR"/>
    <s v="Penyusunan LHP"/>
    <s v="Kirbani"/>
    <s v="Lainnya"/>
    <m/>
    <s v="Perbankan"/>
    <s v="BPR"/>
    <s v="Penyusunan LHP"/>
    <s v="Kirbani"/>
  </r>
  <r>
    <n v="60"/>
    <s v="Pemeriksaan Umum PT BPR Kotabaru"/>
    <s v="PT BPR Kotabaru"/>
    <s v="Kab. Kotabaru"/>
    <s v="Perbankan"/>
    <s v="BPR"/>
    <s v="Pemeriksaan Umum"/>
    <x v="2"/>
    <x v="6"/>
    <d v="2026-06-22T00:00:00"/>
    <d v="2026-06-26T00:00:00"/>
    <s v="Satrio Aji Nugroho"/>
    <x v="0"/>
    <x v="0"/>
    <x v="7"/>
    <x v="0"/>
    <x v="1"/>
    <x v="1"/>
    <x v="1"/>
    <s v="Lainnya"/>
    <s v="Kab. Kotabaru"/>
    <s v="Perbankan"/>
    <s v="BPR"/>
    <s v="Pemeriksaan Umum"/>
    <s v="Satrio Aji Nugroho"/>
    <s v="Lainnya"/>
    <s v="Kab. Kotabaru"/>
    <s v="Perbankan"/>
    <s v="BPR"/>
    <s v="Pemeriksaan Umum"/>
    <s v="Satrio Aji Nugroho"/>
  </r>
  <r>
    <n v="61"/>
    <s v="Pemeriksaan Umum PT BPR Kredit Mandiri Kalsel"/>
    <s v="PT BPR Kredit Mandiri Kalsel"/>
    <s v="Kota Banjarbaru"/>
    <s v="Perbankan"/>
    <s v="BPR"/>
    <s v="Pemeriksaan Umum"/>
    <x v="2"/>
    <x v="6"/>
    <d v="2026-06-22T00:00:00"/>
    <d v="2026-06-26T00:00:00"/>
    <s v="Satrio Aji Nugroho"/>
    <x v="0"/>
    <x v="0"/>
    <x v="4"/>
    <x v="0"/>
    <x v="1"/>
    <x v="1"/>
    <x v="1"/>
    <s v="Lainnya"/>
    <s v="Kota Banjarbaru"/>
    <s v="Perbankan"/>
    <s v="BPR"/>
    <s v="Pemeriksaan Umum"/>
    <s v="Satrio Aji Nugroho"/>
    <s v="Lainnya"/>
    <s v="Kota Banjarbaru"/>
    <s v="Perbankan"/>
    <s v="BPR"/>
    <s v="Pemeriksaan Umum"/>
    <s v="Satrio Aji Nugroho"/>
  </r>
  <r>
    <n v="62"/>
    <s v="Penyusunan KYFI dan TKS Dana Pensiun BPD Kalsel"/>
    <s v="PT BPD Kalimantan Selatan"/>
    <s v="Kota Banjarmasin"/>
    <s v="PPDP"/>
    <s v="Dana Pensiun"/>
    <s v="Pengerjaan TKS"/>
    <x v="2"/>
    <x v="6"/>
    <d v="2026-06-22T00:00:00"/>
    <d v="2026-06-30T00:00:00"/>
    <s v="Satrio Aji Nugroho"/>
    <x v="0"/>
    <x v="1"/>
    <x v="2"/>
    <x v="3"/>
    <x v="5"/>
    <x v="6"/>
    <x v="1"/>
    <s v="PT BPD Kalimantan Selatan"/>
    <s v="Kota Banjarmasin"/>
    <s v="PPDP"/>
    <s v="Dana Pensiun"/>
    <s v="Pengerjaan TKS"/>
    <s v="Satrio Aji Nugroho"/>
    <s v="PT BPD Kalimantan Selatan"/>
    <s v="Kota Banjarmasin"/>
    <s v="PPDP"/>
    <s v="Dana Pensiun"/>
    <s v="Pengerjaan TKS"/>
    <s v="Satrio Aji Nugroho"/>
  </r>
  <r>
    <n v="63"/>
    <s v="LHP KTB (KZ) dan KMKS (DMZ)"/>
    <s v="Lainnya"/>
    <s v="Lainnya"/>
    <s v="Perbankan"/>
    <m/>
    <s v="Penyusunan LHP"/>
    <x v="2"/>
    <x v="6"/>
    <d v="2026-06-29T00:00:00"/>
    <d v="2026-07-03T00:00:00"/>
    <s v="Kirbani"/>
    <x v="0"/>
    <x v="0"/>
    <x v="12"/>
    <x v="0"/>
    <x v="4"/>
    <x v="4"/>
    <x v="0"/>
    <s v="Lainnya"/>
    <s v="Lainnya"/>
    <s v="Perbankan"/>
    <m/>
    <s v="Penyusunan LHP"/>
    <s v="Kirbani"/>
    <s v="Lainnya"/>
    <s v="Lainnya"/>
    <s v="Perbankan"/>
    <m/>
    <s v="Penyusunan LHP"/>
    <s v="Kirbani"/>
  </r>
  <r>
    <n v="64"/>
    <s v="Pemeriksaan Umum Sarana Kalsel ventura"/>
    <s v="PT Sarana Kalsel Ventura"/>
    <s v="Kota Banjarmasin"/>
    <s v="PVML"/>
    <s v="Modal Ventura"/>
    <s v="Pemeriksaan Umum"/>
    <x v="2"/>
    <x v="6"/>
    <d v="2026-06-29T00:00:00"/>
    <d v="2026-07-03T00:00:00"/>
    <s v="Kirbani"/>
    <x v="0"/>
    <x v="4"/>
    <x v="2"/>
    <x v="1"/>
    <x v="6"/>
    <x v="1"/>
    <x v="0"/>
    <s v="PT Sarana Kalsel Ventura"/>
    <s v="Kota Banjarmasin"/>
    <s v="PVML"/>
    <s v="Modal Ventura"/>
    <s v="Pemeriksaan Umum"/>
    <s v="Kirbani"/>
    <s v="PT Sarana Kalsel Ventura"/>
    <s v="Kota Banjarmasin"/>
    <s v="PVML"/>
    <s v="Modal Ventura"/>
    <s v="Pemeriksaan Umum"/>
    <s v="Kirbani"/>
  </r>
  <r>
    <n v="65"/>
    <s v="LHP SKV (PRB)"/>
    <s v="Lainnya"/>
    <s v="Lainnya"/>
    <s v="PVML"/>
    <s v="Modal Ventura"/>
    <s v="Penyusunan LHP"/>
    <x v="3"/>
    <x v="7"/>
    <d v="2026-07-06T00:00:00"/>
    <d v="2026-07-10T00:00:00"/>
    <s v="Satrio Aji Nugroho"/>
    <x v="0"/>
    <x v="0"/>
    <x v="12"/>
    <x v="1"/>
    <x v="6"/>
    <x v="4"/>
    <x v="1"/>
    <s v="Lainnya"/>
    <s v="Lainnya"/>
    <s v="PVML"/>
    <s v="Modal Ventura"/>
    <s v="Penyusunan LHP"/>
    <s v="Satrio Aji Nugroho"/>
    <s v="Lainnya"/>
    <s v="Lainnya"/>
    <s v="PVML"/>
    <s v="Modal Ventura"/>
    <s v="Penyusunan LHP"/>
    <s v="Satrio Aji Nugroho"/>
  </r>
  <r>
    <n v="66"/>
    <s v="Pemeriksaan Umum PT BPR Candi Agung Amuntai"/>
    <s v="PT BPR Candi Agung Amuntai"/>
    <s v="Kab. Hulu Sungai Utara"/>
    <s v="Perbankan"/>
    <s v="BPR"/>
    <s v="Pemeriksaan Umum"/>
    <x v="3"/>
    <x v="7"/>
    <d v="2026-07-06T00:00:00"/>
    <d v="2026-07-10T00:00:00"/>
    <s v="Kirbani"/>
    <x v="0"/>
    <x v="0"/>
    <x v="1"/>
    <x v="0"/>
    <x v="1"/>
    <x v="1"/>
    <x v="0"/>
    <s v="Lainnya"/>
    <s v="Kab. Hulu Sungai Utara"/>
    <s v="Perbankan"/>
    <s v="BPR"/>
    <s v="Pemeriksaan Umum"/>
    <s v="Kirbani"/>
    <s v="Lainnya"/>
    <s v="Kab. Hulu Sungai Utara"/>
    <s v="Perbankan"/>
    <s v="BPR"/>
    <s v="Pemeriksaan Umum"/>
    <s v="Kirbani"/>
  </r>
  <r>
    <n v="67"/>
    <s v="Pemeriksaan Umum PT BPR Multidhana Bersama"/>
    <s v="PT BPR Multidhana Bersama"/>
    <s v="Kab. Banjar"/>
    <s v="Perbankan"/>
    <s v="BPR"/>
    <s v="Pemeriksaan Umum"/>
    <x v="3"/>
    <x v="7"/>
    <d v="2026-07-06T00:00:00"/>
    <d v="2026-07-10T00:00:00"/>
    <s v="Kirbani"/>
    <x v="0"/>
    <x v="0"/>
    <x v="0"/>
    <x v="0"/>
    <x v="1"/>
    <x v="1"/>
    <x v="0"/>
    <s v="Lainnya"/>
    <s v="Kab. Banjar"/>
    <s v="Perbankan"/>
    <s v="BPR"/>
    <s v="Pemeriksaan Umum"/>
    <s v="Kirbani"/>
    <s v="Lainnya"/>
    <s v="Kab. Banjar"/>
    <s v="Perbankan"/>
    <s v="BPR"/>
    <s v="Pemeriksaan Umum"/>
    <s v="Kirbani"/>
  </r>
  <r>
    <n v="68"/>
    <s v="LHP MULTI (KZ) dan CAA (DMZ)"/>
    <s v="PT BPR Multidhana Bersama &amp; PT BPR Candi Agung Amuntai"/>
    <s v="Kab. Banjar"/>
    <s v="Perbankan"/>
    <s v="BPR"/>
    <s v="Penyusunan LHP"/>
    <x v="3"/>
    <x v="7"/>
    <d v="2026-07-13T00:00:00"/>
    <d v="2026-07-17T00:00:00"/>
    <s v="Satrio Aji Nugroho"/>
    <x v="2"/>
    <x v="0"/>
    <x v="0"/>
    <x v="0"/>
    <x v="1"/>
    <x v="4"/>
    <x v="1"/>
    <s v="Lainnya"/>
    <s v="Kab. Banjar"/>
    <s v="Perbankan"/>
    <s v="BPR"/>
    <s v="Penyusunan LHP"/>
    <s v="Satrio Aji Nugroho"/>
    <s v="Lainnya"/>
    <s v="Kab. Banjar"/>
    <s v="Perbankan"/>
    <s v="BPR"/>
    <s v="Penyusunan LHP"/>
    <s v="Satrio Aji Nugroho"/>
  </r>
  <r>
    <n v="69"/>
    <s v="Pemeriksaan PPE EBUS BPD Kalsel"/>
    <s v="PT BPD Kalimantan Selatan"/>
    <s v="Kota Banjarmasin"/>
    <s v="Perbankan"/>
    <s v="Bank Umum"/>
    <s v="Pemeriksaan Umum"/>
    <x v="3"/>
    <x v="7"/>
    <d v="2026-07-13T00:00:00"/>
    <d v="2026-07-17T00:00:00"/>
    <s v="Kirbani"/>
    <x v="2"/>
    <x v="1"/>
    <x v="2"/>
    <x v="0"/>
    <x v="3"/>
    <x v="1"/>
    <x v="0"/>
    <s v="PT BPD Kalimantan Selatan"/>
    <s v="Kota Banjarmasin"/>
    <s v="Perbankan"/>
    <s v="Bank Umum"/>
    <s v="Pemeriksaan Umum"/>
    <s v="Kirbani"/>
    <s v="PT BPD Kalimantan Selatan"/>
    <s v="Kota Banjarmasin"/>
    <s v="Perbankan"/>
    <s v="Bank Umum"/>
    <s v="Pemeriksaan Umum"/>
    <s v="Kirbani"/>
  </r>
  <r>
    <n v="70"/>
    <s v="KYB Bank Kalsel Semester I"/>
    <s v="PT BPD Kalimantan Selatan"/>
    <s v="Kota Banjarmasin"/>
    <s v="Perbankan"/>
    <s v="Bank Umum"/>
    <s v="KYBFI"/>
    <x v="3"/>
    <x v="7"/>
    <d v="2026-07-13T00:00:00"/>
    <d v="2026-07-17T00:00:00"/>
    <s v="Satrio Aji Nugroho"/>
    <x v="2"/>
    <x v="1"/>
    <x v="2"/>
    <x v="0"/>
    <x v="3"/>
    <x v="3"/>
    <x v="1"/>
    <s v="PT BPD Kalimantan Selatan"/>
    <s v="Kota Banjarmasin"/>
    <s v="Perbankan"/>
    <s v="Bank Umum"/>
    <s v="KYBFI"/>
    <s v="Satrio Aji Nugroho"/>
    <s v="PT BPD Kalimantan Selatan"/>
    <s v="Kota Banjarmasin"/>
    <s v="Perbankan"/>
    <s v="Bank Umum"/>
    <s v="KYBFI"/>
    <s v="Satrio Aji Nugroho"/>
  </r>
  <r>
    <n v="71"/>
    <s v="LHP PPE (FRN)"/>
    <s v="Lainnya"/>
    <s v="Lainnya"/>
    <s v="PVML"/>
    <s v="PPE Ebus"/>
    <s v="Penyusunan LHP"/>
    <x v="3"/>
    <x v="7"/>
    <d v="2026-07-20T00:00:00"/>
    <d v="2026-07-31T00:00:00"/>
    <s v="Satrio Aji Nugroho"/>
    <x v="3"/>
    <x v="0"/>
    <x v="12"/>
    <x v="1"/>
    <x v="0"/>
    <x v="4"/>
    <x v="1"/>
    <s v="Lainnya"/>
    <s v="Lainnya"/>
    <s v="PVML"/>
    <s v="PPE Ebus"/>
    <s v="Penyusunan LHP"/>
    <s v="Satrio Aji Nugroho"/>
    <s v="Lainnya"/>
    <s v="Lainnya"/>
    <s v="PVML"/>
    <s v="PPE Ebus"/>
    <s v="Penyusunan LHP"/>
    <s v="Satrio Aji Nugroho"/>
  </r>
  <r>
    <n v="72"/>
    <s v="Pemeriksaan Umum Jamkrida Kalsel"/>
    <s v="PT Jamkrida Kalsel"/>
    <s v="Kota Banjarmasin"/>
    <s v="Perbankan"/>
    <s v="Manajer Investasi"/>
    <s v="Pemeriksaan Umum"/>
    <x v="3"/>
    <x v="7"/>
    <d v="2026-07-20T00:00:00"/>
    <d v="2026-07-31T00:00:00"/>
    <s v="Satrio Aji Nugroho"/>
    <x v="3"/>
    <x v="0"/>
    <x v="2"/>
    <x v="0"/>
    <x v="9"/>
    <x v="1"/>
    <x v="1"/>
    <s v="Lainnya"/>
    <s v="Kota Banjarmasin"/>
    <s v="Perbankan"/>
    <s v="Manajer Investasi"/>
    <s v="Pemeriksaan Umum"/>
    <s v="Satrio Aji Nugroho"/>
    <s v="Lainnya"/>
    <s v="Kota Banjarmasin"/>
    <s v="Perbankan"/>
    <s v="Manajer Investasi"/>
    <s v="Pemeriksaan Umum"/>
    <s v="Satrio Aji Nugroho"/>
  </r>
  <r>
    <n v="73"/>
    <s v="RBBR Bank Kalsel Semester I"/>
    <s v="PT BPD Kalimantan Selatan"/>
    <s v="Kota Banjarmasin"/>
    <s v="Perbankan"/>
    <s v="Bank Umum"/>
    <s v="Penyusunan RBBR"/>
    <x v="3"/>
    <x v="8"/>
    <d v="2026-08-03T00:00:00"/>
    <d v="2026-08-07T00:00:00"/>
    <s v="Kirbani"/>
    <x v="3"/>
    <x v="1"/>
    <x v="2"/>
    <x v="0"/>
    <x v="3"/>
    <x v="7"/>
    <x v="0"/>
    <s v="PT BPD Kalimantan Selatan"/>
    <s v="Kota Banjarmasin"/>
    <s v="Perbankan"/>
    <s v="Bank Umum"/>
    <s v="Penyusunan RBBR"/>
    <s v="Kirbani"/>
    <s v="PT BPD Kalimantan Selatan"/>
    <s v="Kota Banjarmasin"/>
    <s v="Perbankan"/>
    <s v="Bank Umum"/>
    <s v="Penyusunan RBBR"/>
    <s v="Kirbani"/>
  </r>
  <r>
    <n v="74"/>
    <s v="LHP JAMKRIDA (PRB)"/>
    <s v="PT Jamkrida Kalsel"/>
    <s v="Kota Banjarmasin"/>
    <s v="PVML"/>
    <s v="Jamkrida"/>
    <s v="Penyusunan LHP"/>
    <x v="3"/>
    <x v="8"/>
    <d v="2026-08-03T00:00:00"/>
    <d v="2026-08-07T00:00:00"/>
    <s v="Kirbani"/>
    <x v="3"/>
    <x v="0"/>
    <x v="2"/>
    <x v="1"/>
    <x v="2"/>
    <x v="4"/>
    <x v="0"/>
    <s v="Lainnya"/>
    <s v="Kota Banjarmasin"/>
    <s v="PVML"/>
    <s v="Lainnya"/>
    <s v="Penyusunan LHP"/>
    <s v="Kirbani"/>
    <s v="Lainnya"/>
    <s v="Kota Banjarmasin"/>
    <s v="PVML"/>
    <s v="Lainnya"/>
    <s v="Penyusunan LHP"/>
    <s v="Kirbani"/>
  </r>
  <r>
    <n v="75"/>
    <s v="Pengerjaan RBBR BPR dan BPD"/>
    <s v="Lainnya"/>
    <s v="Lainnya"/>
    <s v="Perbankan"/>
    <s v="Bank Umum"/>
    <s v="Penyusunan RBBR"/>
    <x v="3"/>
    <x v="8"/>
    <d v="2026-08-03T00:00:00"/>
    <d v="2026-08-13T00:00:00"/>
    <s v="Kirbani"/>
    <x v="3"/>
    <x v="0"/>
    <x v="12"/>
    <x v="0"/>
    <x v="3"/>
    <x v="7"/>
    <x v="0"/>
    <s v="Lainnya"/>
    <s v="Lainnya"/>
    <s v="Perbankan"/>
    <s v="Bank Umum"/>
    <s v="Penyusunan RBBR"/>
    <s v="Kirbani"/>
    <s v="Lainnya"/>
    <s v="Lainnya"/>
    <s v="Perbankan"/>
    <s v="Bank Umum"/>
    <s v="Penyusunan RBBR"/>
    <s v="Kirbani"/>
  </r>
  <r>
    <n v="76"/>
    <s v="Entry Meeting Pemeriksaan Umum PT BPD Kalimantan Selatan + Kantor Pusat"/>
    <s v="PT BPD Kalimantan Selatan"/>
    <s v="Kota Banjarmasin"/>
    <s v="Perbankan"/>
    <s v="Bank Umum"/>
    <s v="Pemeriksaan Umum"/>
    <x v="3"/>
    <x v="8"/>
    <d v="2026-08-03T00:00:00"/>
    <d v="2026-08-07T00:00:00"/>
    <s v="Kirbani"/>
    <x v="3"/>
    <x v="1"/>
    <x v="2"/>
    <x v="0"/>
    <x v="3"/>
    <x v="1"/>
    <x v="0"/>
    <s v="PT BPD Kalimantan Selatan"/>
    <s v="Kota Banjarmasin"/>
    <s v="Perbankan"/>
    <s v="Bank Umum"/>
    <s v="Pemeriksaan Umum"/>
    <s v="Kirbani"/>
    <s v="PT BPD Kalimantan Selatan"/>
    <s v="Kota Banjarmasin"/>
    <s v="Perbankan"/>
    <s v="Bank Umum"/>
    <s v="Pemeriksaan Umum"/>
    <s v="Kirbani"/>
  </r>
  <r>
    <n v="77"/>
    <s v="Pemeriksaan Kantor Cabang Luar Kota - KC A"/>
    <s v="Lainnya"/>
    <s v="Lainnya"/>
    <s v="Lainnya"/>
    <s v="Lainnya"/>
    <s v="Pemeriksaan Umum"/>
    <x v="3"/>
    <x v="8"/>
    <d v="2026-08-10T00:00:00"/>
    <d v="2026-08-14T00:00:00"/>
    <s v="Satrio Aji Nugroho"/>
    <x v="3"/>
    <x v="0"/>
    <x v="12"/>
    <x v="4"/>
    <x v="2"/>
    <x v="1"/>
    <x v="1"/>
    <s v="Lainnya"/>
    <s v="Lainnya"/>
    <s v="Lainnya"/>
    <s v="Lainnya"/>
    <s v="Pemeriksaan Umum"/>
    <s v="Satrio Aji Nugroho"/>
    <s v="Lainnya"/>
    <s v="Lainnya"/>
    <s v="Lainnya"/>
    <s v="Lainnya"/>
    <s v="Pemeriksaan Umum"/>
    <s v="Satrio Aji Nugroho"/>
  </r>
  <r>
    <n v="78"/>
    <s v="Pemeriksaan Kantor Cabang Luar Kota - KC B"/>
    <s v="Lainnya"/>
    <s v="Lainnya"/>
    <s v="Lainnya"/>
    <s v="Lainnya"/>
    <s v="Pemeriksaan Umum"/>
    <x v="3"/>
    <x v="8"/>
    <d v="2026-08-10T00:00:00"/>
    <d v="2026-08-14T00:00:00"/>
    <s v="Satrio Aji Nugroho"/>
    <x v="3"/>
    <x v="0"/>
    <x v="12"/>
    <x v="4"/>
    <x v="2"/>
    <x v="1"/>
    <x v="1"/>
    <s v="Lainnya"/>
    <s v="Lainnya"/>
    <s v="Lainnya"/>
    <s v="Lainnya"/>
    <s v="Pemeriksaan Umum"/>
    <s v="Satrio Aji Nugroho"/>
    <s v="Lainnya"/>
    <s v="Lainnya"/>
    <s v="Lainnya"/>
    <s v="Lainnya"/>
    <s v="Pemeriksaan Umum"/>
    <s v="Satrio Aji Nugroho"/>
  </r>
  <r>
    <n v="79"/>
    <s v="17 Agustus 2026 - Hari Kemerdekaan"/>
    <m/>
    <m/>
    <m/>
    <m/>
    <m/>
    <x v="1"/>
    <x v="1"/>
    <m/>
    <m/>
    <m/>
    <x v="1"/>
    <x v="2"/>
    <x v="3"/>
    <x v="2"/>
    <x v="4"/>
    <x v="2"/>
    <x v="2"/>
    <m/>
    <m/>
    <m/>
    <m/>
    <m/>
    <m/>
    <m/>
    <m/>
    <m/>
    <m/>
    <m/>
    <m/>
  </r>
  <r>
    <n v="80"/>
    <s v="Recycling IJK"/>
    <s v="Lainnya"/>
    <s v="Lainnya"/>
    <s v="Lainnya"/>
    <s v="Lainnya"/>
    <m/>
    <x v="3"/>
    <x v="8"/>
    <d v="2026-08-18T00:00:00"/>
    <d v="2026-08-21T00:00:00"/>
    <s v="Satrio Aji Nugroho"/>
    <x v="3"/>
    <x v="0"/>
    <x v="12"/>
    <x v="4"/>
    <x v="2"/>
    <x v="2"/>
    <x v="1"/>
    <s v="Lainnya"/>
    <s v="Lainnya"/>
    <s v="Lainnya"/>
    <s v="Lainnya"/>
    <m/>
    <s v="Satrio Aji Nugroho"/>
    <s v="Lainnya"/>
    <s v="Lainnya"/>
    <s v="Lainnya"/>
    <s v="Lainnya"/>
    <m/>
    <s v="Satrio Aji Nugroho"/>
  </r>
  <r>
    <n v="81"/>
    <s v="25 Agustus 2026 - Maulid Nabi"/>
    <m/>
    <m/>
    <m/>
    <m/>
    <m/>
    <x v="1"/>
    <x v="9"/>
    <m/>
    <m/>
    <m/>
    <x v="1"/>
    <x v="2"/>
    <x v="3"/>
    <x v="2"/>
    <x v="4"/>
    <x v="2"/>
    <x v="2"/>
    <m/>
    <m/>
    <m/>
    <m/>
    <m/>
    <m/>
    <m/>
    <m/>
    <m/>
    <m/>
    <m/>
    <m/>
  </r>
  <r>
    <n v="82"/>
    <s v="Prudential Meeting 10 BPR"/>
    <s v="Lainnya"/>
    <s v="Lainnya"/>
    <s v="Perbankan"/>
    <s v="BPR"/>
    <s v="Prudential Meeting"/>
    <x v="3"/>
    <x v="8"/>
    <d v="2026-08-26T00:00:00"/>
    <d v="2026-08-28T00:00:00"/>
    <s v="Satrio Aji Nugroho"/>
    <x v="3"/>
    <x v="0"/>
    <x v="12"/>
    <x v="0"/>
    <x v="1"/>
    <x v="0"/>
    <x v="1"/>
    <s v="Lainnya"/>
    <s v="Lainnya"/>
    <s v="Perbankan"/>
    <s v="BPR"/>
    <s v="Prudential Meeting"/>
    <s v="Satrio Aji Nugroho"/>
    <s v="Lainnya"/>
    <s v="Lainnya"/>
    <s v="Perbankan"/>
    <s v="BPR"/>
    <s v="Prudential Meeting"/>
    <s v="Satrio Aji Nugroho"/>
  </r>
  <r>
    <n v="83"/>
    <s v="Pemeriksaan Kantor Cabang Luar Kota - KC C"/>
    <s v="Lainnya"/>
    <s v="Lainnya"/>
    <s v="Lainnya"/>
    <s v="Lainnya"/>
    <s v="Pemeriksaan Umum"/>
    <x v="3"/>
    <x v="8"/>
    <d v="2026-08-31T00:00:00"/>
    <d v="2026-09-04T00:00:00"/>
    <s v="Satrio Aji Nugroho"/>
    <x v="3"/>
    <x v="0"/>
    <x v="12"/>
    <x v="4"/>
    <x v="2"/>
    <x v="1"/>
    <x v="1"/>
    <s v="Lainnya"/>
    <s v="Lainnya"/>
    <s v="Lainnya"/>
    <s v="Lainnya"/>
    <s v="Pemeriksaan Umum"/>
    <s v="Satrio Aji Nugroho"/>
    <s v="Lainnya"/>
    <s v="Lainnya"/>
    <s v="Lainnya"/>
    <s v="Lainnya"/>
    <s v="Pemeriksaan Umum"/>
    <s v="Satrio Aji Nugroho"/>
  </r>
  <r>
    <n v="84"/>
    <s v="Pemeriksaan Kantor Cabang Luar Kota - KC D"/>
    <s v="Lainnya"/>
    <s v="Lainnya"/>
    <s v="Lainnya"/>
    <s v="Lainnya"/>
    <s v="Pemeriksaan Umum"/>
    <x v="3"/>
    <x v="8"/>
    <d v="2026-08-31T00:00:00"/>
    <d v="2026-09-04T00:00:00"/>
    <s v="Satrio Aji Nugroho"/>
    <x v="3"/>
    <x v="0"/>
    <x v="12"/>
    <x v="4"/>
    <x v="2"/>
    <x v="1"/>
    <x v="1"/>
    <s v="Lainnya"/>
    <s v="Lainnya"/>
    <s v="Lainnya"/>
    <s v="Lainnya"/>
    <s v="Pemeriksaan Umum"/>
    <s v="Satrio Aji Nugroho"/>
    <s v="Lainnya"/>
    <s v="Lainnya"/>
    <s v="Lainnya"/>
    <s v="Lainnya"/>
    <s v="Pemeriksaan Umum"/>
    <s v="Satrio Aji Nugroho"/>
  </r>
  <r>
    <n v="85"/>
    <s v="Prudential Meeting RBB PT BPD Kalimantan Selatan (Realisasi RBB TWI I/26 &amp; Post Audit Monitoring)"/>
    <s v="PT BPD Kalimantan Selatan"/>
    <s v="Kota Banjarmasin"/>
    <s v="Perbankan"/>
    <s v="Bank Umum"/>
    <s v="Prudential Meeting"/>
    <x v="3"/>
    <x v="10"/>
    <d v="2026-09-08T00:00:00"/>
    <d v="2026-09-08T00:00:00"/>
    <s v="Satrio Aji Nugroho"/>
    <x v="3"/>
    <x v="1"/>
    <x v="2"/>
    <x v="0"/>
    <x v="3"/>
    <x v="0"/>
    <x v="1"/>
    <s v="PT BPD Kalimantan Selatan"/>
    <s v="Kota Banjarmasin"/>
    <s v="Perbankan"/>
    <s v="Bank Umum"/>
    <s v="Prudential Meeting"/>
    <s v="Satrio Aji Nugroho"/>
    <s v="PT BPD Kalimantan Selatan"/>
    <s v="Kota Banjarmasin"/>
    <s v="Perbankan"/>
    <s v="Bank Umum"/>
    <s v="Prudential Meeting"/>
    <s v="Satrio Aji Nugroho"/>
  </r>
  <r>
    <n v="86"/>
    <s v="Pemeriksaan Kantor Cabang Luar Kota - KC E"/>
    <s v="Lainnya"/>
    <s v="Lainnya"/>
    <s v="Lainnya"/>
    <s v="Lainnya"/>
    <s v="Pemeriksaan Umum"/>
    <x v="3"/>
    <x v="10"/>
    <d v="2026-09-14T00:00:00"/>
    <d v="2026-09-18T00:00:00"/>
    <s v="Kirbani"/>
    <x v="3"/>
    <x v="0"/>
    <x v="12"/>
    <x v="4"/>
    <x v="2"/>
    <x v="1"/>
    <x v="0"/>
    <s v="Lainnya"/>
    <s v="Lainnya"/>
    <s v="Lainnya"/>
    <s v="Lainnya"/>
    <s v="Pemeriksaan Umum"/>
    <s v="Kirbani"/>
    <s v="Lainnya"/>
    <s v="Lainnya"/>
    <s v="Lainnya"/>
    <s v="Lainnya"/>
    <s v="Pemeriksaan Umum"/>
    <s v="Kirbani"/>
  </r>
  <r>
    <n v="87"/>
    <s v="Pemeriksaan Kantor Cabang Luar Kota - KC F"/>
    <s v="Lainnya"/>
    <s v="Lainnya"/>
    <s v="Lainnya"/>
    <s v="Lainnya"/>
    <s v="Pemeriksaan Umum"/>
    <x v="3"/>
    <x v="10"/>
    <d v="2026-09-14T00:00:00"/>
    <d v="2026-09-18T00:00:00"/>
    <s v="Satrio Aji Nugroho"/>
    <x v="3"/>
    <x v="0"/>
    <x v="12"/>
    <x v="4"/>
    <x v="2"/>
    <x v="1"/>
    <x v="1"/>
    <s v="Lainnya"/>
    <s v="Lainnya"/>
    <s v="Lainnya"/>
    <s v="Lainnya"/>
    <s v="Pemeriksaan Umum"/>
    <s v="Satrio Aji Nugroho"/>
    <s v="Lainnya"/>
    <s v="Lainnya"/>
    <s v="Lainnya"/>
    <s v="Lainnya"/>
    <s v="Pemeriksaan Umum"/>
    <s v="Satrio Aji Nugroho"/>
  </r>
  <r>
    <n v="88"/>
    <s v="Pemeriksaan Kantor Cabang Luar Kota - KC G"/>
    <s v="Lainnya"/>
    <s v="Lainnya"/>
    <s v="Lainnya"/>
    <s v="Lainnya"/>
    <s v="Pemeriksaan Umum"/>
    <x v="3"/>
    <x v="10"/>
    <d v="2026-09-28T00:00:00"/>
    <d v="2026-10-02T00:00:00"/>
    <s v="Kirbani"/>
    <x v="3"/>
    <x v="0"/>
    <x v="12"/>
    <x v="4"/>
    <x v="2"/>
    <x v="1"/>
    <x v="0"/>
    <s v="Lainnya"/>
    <s v="Lainnya"/>
    <s v="Lainnya"/>
    <s v="Lainnya"/>
    <s v="Pemeriksaan Umum"/>
    <s v="Kirbani"/>
    <s v="Lainnya"/>
    <s v="Lainnya"/>
    <s v="Lainnya"/>
    <s v="Lainnya"/>
    <s v="Pemeriksaan Umum"/>
    <s v="Kirbani"/>
  </r>
  <r>
    <n v="89"/>
    <s v="Pemeriksaan Kantor Cabang Luar Kota - KC H"/>
    <s v="Lainnya"/>
    <s v="Lainnya"/>
    <s v="Lainnya"/>
    <s v="Lainnya"/>
    <s v="Pemeriksaan Umum"/>
    <x v="3"/>
    <x v="10"/>
    <d v="2026-09-28T00:00:00"/>
    <d v="2026-10-02T00:00:00"/>
    <s v="Kirbani"/>
    <x v="3"/>
    <x v="0"/>
    <x v="12"/>
    <x v="4"/>
    <x v="2"/>
    <x v="1"/>
    <x v="0"/>
    <s v="Lainnya"/>
    <s v="Lainnya"/>
    <s v="Lainnya"/>
    <s v="Lainnya"/>
    <s v="Pemeriksaan Umum"/>
    <s v="Kirbani"/>
    <s v="Lainnya"/>
    <s v="Lainnya"/>
    <s v="Lainnya"/>
    <s v="Lainnya"/>
    <s v="Pemeriksaan Umum"/>
    <s v="Kirbani"/>
  </r>
  <r>
    <n v="90"/>
    <s v="Pemeriksaan Kantor Pusat"/>
    <s v="Lainnya"/>
    <s v="Lainnya"/>
    <s v="Lainnya"/>
    <s v="Lainnya"/>
    <s v="Pemeriksaan Umum"/>
    <x v="4"/>
    <x v="11"/>
    <d v="2026-10-05T00:00:00"/>
    <d v="2026-10-16T00:00:00"/>
    <s v="Satrio Aji Nugroho"/>
    <x v="3"/>
    <x v="0"/>
    <x v="12"/>
    <x v="4"/>
    <x v="2"/>
    <x v="1"/>
    <x v="1"/>
    <s v="Lainnya"/>
    <s v="Lainnya"/>
    <s v="Lainnya"/>
    <s v="Lainnya"/>
    <s v="Pemeriksaan Umum"/>
    <s v="Satrio Aji Nugroho"/>
    <s v="Lainnya"/>
    <s v="Lainnya"/>
    <s v="Lainnya"/>
    <s v="Lainnya"/>
    <s v="Pemeriksaan Umum"/>
    <s v="Satrio Aji Nugroho"/>
  </r>
  <r>
    <n v="91"/>
    <s v="Pemeriksaan MI Dalam Kota"/>
    <s v="Lainnya"/>
    <s v="Lainnya"/>
    <s v="Lainnya"/>
    <s v="Lainnya"/>
    <s v="Pemeriksaan Umum"/>
    <x v="4"/>
    <x v="11"/>
    <d v="2026-10-26T00:00:00"/>
    <d v="2026-10-30T00:00:00"/>
    <s v="Satrio Aji Nugroho"/>
    <x v="3"/>
    <x v="0"/>
    <x v="12"/>
    <x v="4"/>
    <x v="2"/>
    <x v="1"/>
    <x v="1"/>
    <s v="Lainnya"/>
    <s v="Lainnya"/>
    <s v="Lainnya"/>
    <s v="Lainnya"/>
    <s v="Pemeriksaan Umum"/>
    <s v="Satrio Aji Nugroho"/>
    <s v="Lainnya"/>
    <s v="Lainnya"/>
    <s v="Lainnya"/>
    <s v="Lainnya"/>
    <s v="Pemeriksaan Umum"/>
    <s v="Satrio Aji Nugroho"/>
  </r>
  <r>
    <n v="92"/>
    <s v="Pemeriksaan Gadai Sangat Jaya"/>
    <s v="PT Gadai Sangat Jaya"/>
    <s v="Kota Banjarmasin"/>
    <s v="PVML"/>
    <s v="Pegadaian"/>
    <s v="Pemeriksaan Umum"/>
    <x v="4"/>
    <x v="12"/>
    <d v="2026-11-03T00:00:00"/>
    <d v="2026-11-06T00:00:00"/>
    <s v="Satrio Aji Nugroho"/>
    <x v="3"/>
    <x v="8"/>
    <x v="2"/>
    <x v="1"/>
    <x v="2"/>
    <x v="1"/>
    <x v="1"/>
    <s v="PT Gadai Sangat Jaya"/>
    <s v="Kota Banjarmasin"/>
    <s v="PVML"/>
    <s v="Lainnya"/>
    <s v="Pemeriksaan Umum"/>
    <s v="Satrio Aji Nugroho"/>
    <s v="PT Gadai Sangat Jaya"/>
    <s v="Kota Banjarmasin"/>
    <s v="PVML"/>
    <s v="Lainnya"/>
    <s v="Pemeriksaan Umum"/>
    <s v="Satrio Aji Nugroho"/>
  </r>
  <r>
    <n v="93"/>
    <s v="Pemeriksaan Perusahaan Efek"/>
    <s v="PT BNI sekuritas"/>
    <s v="Kota Banjarbaru"/>
    <s v="PVML"/>
    <s v="Perusahaan Efek"/>
    <s v="Pemeriksaan Umum"/>
    <x v="4"/>
    <x v="12"/>
    <d v="2026-11-10T00:00:00"/>
    <d v="2026-11-13T00:00:00"/>
    <s v="Kirbani"/>
    <x v="3"/>
    <x v="9"/>
    <x v="4"/>
    <x v="1"/>
    <x v="10"/>
    <x v="1"/>
    <x v="0"/>
    <s v="PT BNI sekuritas"/>
    <s v="Kota Banjarbaru"/>
    <s v="PVML"/>
    <s v="Perusahaan Efek"/>
    <s v="Pemeriksaan Umum"/>
    <s v="Kirbani"/>
    <s v="PT BNI sekuritas"/>
    <s v="Kota Banjarbaru"/>
    <s v="PVML"/>
    <s v="Perusahaan Efek"/>
    <s v="Pemeriksaan Umum"/>
    <s v="Kirbani"/>
  </r>
  <r>
    <n v="94"/>
    <s v="Prudential Meeting RBB PT BPD Kalimantan Selatan (Realisasi RBB TWII I/26 &amp; Post Audit Monitoring)"/>
    <s v="PT BPD Kalimantan Selatan"/>
    <s v="Kota Banjarmasin"/>
    <s v="Perbankan"/>
    <s v="Bank Umum"/>
    <s v="Prudential Meeting"/>
    <x v="4"/>
    <x v="12"/>
    <d v="2026-11-18T00:00:00"/>
    <d v="2026-11-18T00:00:00"/>
    <s v="Kirbani"/>
    <x v="3"/>
    <x v="1"/>
    <x v="2"/>
    <x v="0"/>
    <x v="3"/>
    <x v="0"/>
    <x v="0"/>
    <s v="PT BPD Kalimantan Selatan"/>
    <s v="Kota Banjarmasin"/>
    <s v="Perbankan"/>
    <s v="Bank Umum"/>
    <s v="Prudential Meeting"/>
    <s v="Kirbani"/>
    <s v="PT BPD Kalimantan Selatan"/>
    <s v="Kota Banjarmasin"/>
    <s v="Perbankan"/>
    <s v="Bank Umum"/>
    <s v="Prudential Meeting"/>
    <s v="Kirbani"/>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B76350-0631-454A-AAA0-ECCDCDF1BB56}" name="PT2_100525_168"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9:K32" firstHeaderRow="1" firstDataRow="2" firstDataCol="1"/>
  <pivotFields count="31">
    <pivotField showAll="0"/>
    <pivotField showAll="0"/>
    <pivotField dataField="1" showAll="0"/>
    <pivotField showAll="0"/>
    <pivotField showAll="0"/>
    <pivotField showAll="0"/>
    <pivotField showAll="0"/>
    <pivotField showAll="0"/>
    <pivotField axis="axisRow" showAll="0">
      <items count="14">
        <item x="0"/>
        <item x="2"/>
        <item x="3"/>
        <item x="4"/>
        <item x="5"/>
        <item x="6"/>
        <item x="7"/>
        <item x="8"/>
        <item x="10"/>
        <item x="11"/>
        <item x="12"/>
        <item h="1" x="9"/>
        <item h="1" x="1"/>
        <item t="default"/>
      </items>
    </pivotField>
    <pivotField showAll="0"/>
    <pivotField showAll="0"/>
    <pivotField showAll="0"/>
    <pivotField showAll="0"/>
    <pivotField axis="axisCol" showAll="0">
      <items count="11">
        <item x="0"/>
        <item x="9"/>
        <item x="1"/>
        <item x="3"/>
        <item x="5"/>
        <item x="6"/>
        <item x="7"/>
        <item x="8"/>
        <item x="4"/>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2">
    <i>
      <x/>
    </i>
    <i>
      <x v="1"/>
    </i>
    <i>
      <x v="2"/>
    </i>
    <i>
      <x v="3"/>
    </i>
    <i>
      <x v="4"/>
    </i>
    <i>
      <x v="5"/>
    </i>
    <i>
      <x v="6"/>
    </i>
    <i>
      <x v="7"/>
    </i>
    <i>
      <x v="8"/>
    </i>
    <i>
      <x v="9"/>
    </i>
    <i>
      <x v="10"/>
    </i>
    <i t="grand">
      <x/>
    </i>
  </rowItems>
  <colFields count="1">
    <field x="13"/>
  </colFields>
  <colItems count="10">
    <i>
      <x/>
    </i>
    <i>
      <x v="1"/>
    </i>
    <i>
      <x v="2"/>
    </i>
    <i>
      <x v="3"/>
    </i>
    <i>
      <x v="4"/>
    </i>
    <i>
      <x v="5"/>
    </i>
    <i>
      <x v="6"/>
    </i>
    <i>
      <x v="7"/>
    </i>
    <i>
      <x v="8"/>
    </i>
    <i t="grand">
      <x/>
    </i>
  </colItems>
  <dataFields count="1">
    <dataField name="Jumlah PUJK" fld="2"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6C1DFA2-4AF9-4D04-81DA-B72061A2F15D}" name="PT1_100525_102"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5" firstHeaderRow="1" firstDataRow="1" firstDataCol="1"/>
  <pivotFields count="31">
    <pivotField showAll="0"/>
    <pivotField dataField="1" showAll="0"/>
    <pivotField showAll="0"/>
    <pivotField showAll="0"/>
    <pivotField showAll="0"/>
    <pivotField showAll="0"/>
    <pivotField showAll="0"/>
    <pivotField showAll="0"/>
    <pivotField axis="axisRow" showAll="0">
      <items count="14">
        <item x="0"/>
        <item x="2"/>
        <item x="3"/>
        <item x="4"/>
        <item x="5"/>
        <item x="6"/>
        <item x="7"/>
        <item x="8"/>
        <item x="10"/>
        <item x="11"/>
        <item x="12"/>
        <item h="1" x="9"/>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2">
    <i>
      <x/>
    </i>
    <i>
      <x v="1"/>
    </i>
    <i>
      <x v="2"/>
    </i>
    <i>
      <x v="3"/>
    </i>
    <i>
      <x v="4"/>
    </i>
    <i>
      <x v="5"/>
    </i>
    <i>
      <x v="6"/>
    </i>
    <i>
      <x v="7"/>
    </i>
    <i>
      <x v="8"/>
    </i>
    <i>
      <x v="9"/>
    </i>
    <i>
      <x v="10"/>
    </i>
    <i t="grand">
      <x/>
    </i>
  </rowItems>
  <colItems count="1">
    <i/>
  </colItems>
  <dataFields count="1">
    <dataField name="Jumlah Kegiatan" fld="1"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63C119A-84C6-4352-B4EF-1D31BC9FBE52}" name="PT6_100525_46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87:I100" firstHeaderRow="1" firstDataRow="2" firstDataCol="1"/>
  <pivotFields count="31">
    <pivotField showAll="0"/>
    <pivotField showAll="0"/>
    <pivotField showAll="0"/>
    <pivotField showAll="0"/>
    <pivotField showAll="0"/>
    <pivotField showAll="0"/>
    <pivotField dataField="1" showAll="0"/>
    <pivotField showAll="0"/>
    <pivotField axis="axisRow" showAll="0">
      <items count="14">
        <item x="0"/>
        <item x="2"/>
        <item x="3"/>
        <item x="4"/>
        <item x="5"/>
        <item x="6"/>
        <item x="7"/>
        <item x="8"/>
        <item x="10"/>
        <item x="11"/>
        <item x="12"/>
        <item h="1" x="9"/>
        <item h="1" x="1"/>
        <item t="default"/>
      </items>
    </pivotField>
    <pivotField showAll="0"/>
    <pivotField showAll="0"/>
    <pivotField showAll="0"/>
    <pivotField showAll="0"/>
    <pivotField showAll="0"/>
    <pivotField showAll="0"/>
    <pivotField showAll="0"/>
    <pivotField showAll="0"/>
    <pivotField axis="axisCol" showAll="0">
      <items count="9">
        <item x="5"/>
        <item x="3"/>
        <item x="1"/>
        <item x="6"/>
        <item x="4"/>
        <item x="7"/>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2">
    <i>
      <x/>
    </i>
    <i>
      <x v="1"/>
    </i>
    <i>
      <x v="2"/>
    </i>
    <i>
      <x v="3"/>
    </i>
    <i>
      <x v="4"/>
    </i>
    <i>
      <x v="5"/>
    </i>
    <i>
      <x v="6"/>
    </i>
    <i>
      <x v="7"/>
    </i>
    <i>
      <x v="8"/>
    </i>
    <i>
      <x v="9"/>
    </i>
    <i>
      <x v="10"/>
    </i>
    <i t="grand">
      <x/>
    </i>
  </rowItems>
  <colFields count="1">
    <field x="17"/>
  </colFields>
  <colItems count="8">
    <i>
      <x/>
    </i>
    <i>
      <x v="1"/>
    </i>
    <i>
      <x v="2"/>
    </i>
    <i>
      <x v="3"/>
    </i>
    <i>
      <x v="4"/>
    </i>
    <i>
      <x v="5"/>
    </i>
    <i>
      <x v="6"/>
    </i>
    <i t="grand">
      <x/>
    </i>
  </colItems>
  <dataFields count="1">
    <dataField name="Jumlah Kegiatan" fld="6"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1958D25-E7F0-445F-B0C8-D57747FEB350}" name="PT5_100525_395"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0:L83" firstHeaderRow="1" firstDataRow="2" firstDataCol="1"/>
  <pivotFields count="31">
    <pivotField showAll="0"/>
    <pivotField showAll="0"/>
    <pivotField showAll="0"/>
    <pivotField showAll="0"/>
    <pivotField showAll="0"/>
    <pivotField dataField="1" showAll="0"/>
    <pivotField showAll="0"/>
    <pivotField showAll="0"/>
    <pivotField axis="axisRow" showAll="0">
      <items count="14">
        <item x="0"/>
        <item x="2"/>
        <item x="3"/>
        <item x="4"/>
        <item x="5"/>
        <item x="6"/>
        <item x="7"/>
        <item x="8"/>
        <item x="10"/>
        <item x="11"/>
        <item x="12"/>
        <item h="1" x="9"/>
        <item h="1" x="1"/>
        <item t="default"/>
      </items>
    </pivotField>
    <pivotField showAll="0"/>
    <pivotField showAll="0"/>
    <pivotField showAll="0"/>
    <pivotField showAll="0"/>
    <pivotField showAll="0"/>
    <pivotField showAll="0"/>
    <pivotField showAll="0"/>
    <pivotField axis="axisCol" showAll="0">
      <items count="12">
        <item x="8"/>
        <item x="3"/>
        <item x="1"/>
        <item x="7"/>
        <item x="5"/>
        <item x="2"/>
        <item x="9"/>
        <item x="6"/>
        <item x="10"/>
        <item x="0"/>
        <item h="1" x="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2">
    <i>
      <x/>
    </i>
    <i>
      <x v="1"/>
    </i>
    <i>
      <x v="2"/>
    </i>
    <i>
      <x v="3"/>
    </i>
    <i>
      <x v="4"/>
    </i>
    <i>
      <x v="5"/>
    </i>
    <i>
      <x v="6"/>
    </i>
    <i>
      <x v="7"/>
    </i>
    <i>
      <x v="8"/>
    </i>
    <i>
      <x v="9"/>
    </i>
    <i>
      <x v="10"/>
    </i>
    <i t="grand">
      <x/>
    </i>
  </rowItems>
  <colFields count="1">
    <field x="16"/>
  </colFields>
  <colItems count="11">
    <i>
      <x/>
    </i>
    <i>
      <x v="1"/>
    </i>
    <i>
      <x v="2"/>
    </i>
    <i>
      <x v="3"/>
    </i>
    <i>
      <x v="4"/>
    </i>
    <i>
      <x v="5"/>
    </i>
    <i>
      <x v="6"/>
    </i>
    <i>
      <x v="7"/>
    </i>
    <i>
      <x v="8"/>
    </i>
    <i>
      <x v="9"/>
    </i>
    <i t="grand">
      <x/>
    </i>
  </colItems>
  <dataFields count="1">
    <dataField name="Jumlah LJK" fld="5"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5038D7D-85C5-46BD-9301-0A133DD112E5}" name="PT4_100525_336"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53:F66" firstHeaderRow="1" firstDataRow="2" firstDataCol="1"/>
  <pivotFields count="31">
    <pivotField showAll="0"/>
    <pivotField showAll="0"/>
    <pivotField showAll="0"/>
    <pivotField showAll="0"/>
    <pivotField dataField="1" showAll="0"/>
    <pivotField showAll="0"/>
    <pivotField showAll="0"/>
    <pivotField showAll="0"/>
    <pivotField axis="axisRow" showAll="0">
      <items count="14">
        <item x="0"/>
        <item x="2"/>
        <item x="3"/>
        <item x="4"/>
        <item x="5"/>
        <item x="6"/>
        <item x="7"/>
        <item x="8"/>
        <item x="10"/>
        <item x="11"/>
        <item x="12"/>
        <item h="1" x="9"/>
        <item h="1" x="1"/>
        <item t="default"/>
      </items>
    </pivotField>
    <pivotField showAll="0"/>
    <pivotField showAll="0"/>
    <pivotField showAll="0"/>
    <pivotField showAll="0"/>
    <pivotField showAll="0"/>
    <pivotField showAll="0"/>
    <pivotField axis="axisCol" showAll="0">
      <items count="6">
        <item x="4"/>
        <item x="0"/>
        <item x="3"/>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2">
    <i>
      <x/>
    </i>
    <i>
      <x v="1"/>
    </i>
    <i>
      <x v="2"/>
    </i>
    <i>
      <x v="3"/>
    </i>
    <i>
      <x v="4"/>
    </i>
    <i>
      <x v="5"/>
    </i>
    <i>
      <x v="6"/>
    </i>
    <i>
      <x v="7"/>
    </i>
    <i>
      <x v="8"/>
    </i>
    <i>
      <x v="9"/>
    </i>
    <i>
      <x v="10"/>
    </i>
    <i t="grand">
      <x/>
    </i>
  </rowItems>
  <colFields count="1">
    <field x="15"/>
  </colFields>
  <colItems count="5">
    <i>
      <x/>
    </i>
    <i>
      <x v="1"/>
    </i>
    <i>
      <x v="2"/>
    </i>
    <i>
      <x v="3"/>
    </i>
    <i t="grand">
      <x/>
    </i>
  </colItems>
  <dataFields count="1">
    <dataField name="Jumlah Sektor" fld="4"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408845D-5F0F-4E2E-9CCC-7F26D452F73E}" name="PT9_100525_62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30:E143" firstHeaderRow="1" firstDataRow="2" firstDataCol="1"/>
  <pivotFields count="31">
    <pivotField showAll="0"/>
    <pivotField showAll="0"/>
    <pivotField showAll="0"/>
    <pivotField showAll="0"/>
    <pivotField showAll="0"/>
    <pivotField showAll="0"/>
    <pivotField showAll="0"/>
    <pivotField showAll="0"/>
    <pivotField axis="axisRow" showAll="0">
      <items count="14">
        <item x="0"/>
        <item x="2"/>
        <item x="3"/>
        <item x="4"/>
        <item x="5"/>
        <item x="6"/>
        <item x="7"/>
        <item x="8"/>
        <item x="10"/>
        <item x="11"/>
        <item x="12"/>
        <item h="1" x="9"/>
        <item h="1" x="1"/>
        <item t="default"/>
      </items>
    </pivotField>
    <pivotField showAll="0"/>
    <pivotField showAll="0"/>
    <pivotField showAll="0"/>
    <pivotField axis="axisCol" dataField="1" showAll="0">
      <items count="5">
        <item x="3"/>
        <item x="2"/>
        <item x="0"/>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2">
    <i>
      <x/>
    </i>
    <i>
      <x v="1"/>
    </i>
    <i>
      <x v="2"/>
    </i>
    <i>
      <x v="3"/>
    </i>
    <i>
      <x v="4"/>
    </i>
    <i>
      <x v="5"/>
    </i>
    <i>
      <x v="6"/>
    </i>
    <i>
      <x v="7"/>
    </i>
    <i>
      <x v="8"/>
    </i>
    <i>
      <x v="9"/>
    </i>
    <i>
      <x v="10"/>
    </i>
    <i t="grand">
      <x/>
    </i>
  </rowItems>
  <colFields count="1">
    <field x="12"/>
  </colFields>
  <colItems count="4">
    <i>
      <x/>
    </i>
    <i>
      <x v="1"/>
    </i>
    <i>
      <x v="2"/>
    </i>
    <i t="grand">
      <x/>
    </i>
  </colItems>
  <dataFields count="1">
    <dataField name="Jumlah Status" fld="12"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3FB402A-B071-4BAF-A295-D925D7B82CF4}" name="PT8_100525_559"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13:D126" firstHeaderRow="1" firstDataRow="2" firstDataCol="1"/>
  <pivotFields count="31">
    <pivotField showAll="0"/>
    <pivotField showAll="0"/>
    <pivotField showAll="0"/>
    <pivotField showAll="0"/>
    <pivotField showAll="0"/>
    <pivotField showAll="0"/>
    <pivotField showAll="0"/>
    <pivotField showAll="0"/>
    <pivotField axis="axisRow" showAll="0">
      <items count="14">
        <item x="0"/>
        <item x="2"/>
        <item x="3"/>
        <item x="4"/>
        <item x="5"/>
        <item x="6"/>
        <item x="7"/>
        <item x="8"/>
        <item x="10"/>
        <item x="11"/>
        <item x="12"/>
        <item h="1" x="9"/>
        <item h="1" x="1"/>
        <item t="default"/>
      </items>
    </pivotField>
    <pivotField showAll="0"/>
    <pivotField showAll="0"/>
    <pivotField dataField="1" showAll="0"/>
    <pivotField showAll="0"/>
    <pivotField showAll="0"/>
    <pivotField showAll="0"/>
    <pivotField showAll="0"/>
    <pivotField showAll="0"/>
    <pivotField showAll="0"/>
    <pivotField axis="axisCol" showAll="0">
      <items count="4">
        <item x="0"/>
        <item x="1"/>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2">
    <i>
      <x/>
    </i>
    <i>
      <x v="1"/>
    </i>
    <i>
      <x v="2"/>
    </i>
    <i>
      <x v="3"/>
    </i>
    <i>
      <x v="4"/>
    </i>
    <i>
      <x v="5"/>
    </i>
    <i>
      <x v="6"/>
    </i>
    <i>
      <x v="7"/>
    </i>
    <i>
      <x v="8"/>
    </i>
    <i>
      <x v="9"/>
    </i>
    <i>
      <x v="10"/>
    </i>
    <i t="grand">
      <x/>
    </i>
  </rowItems>
  <colFields count="1">
    <field x="18"/>
  </colFields>
  <colItems count="3">
    <i>
      <x/>
    </i>
    <i>
      <x v="1"/>
    </i>
    <i t="grand">
      <x/>
    </i>
  </colItems>
  <dataFields count="1">
    <dataField name="Jumlah Kegiatan" fld="11"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E771C00-1A93-41E7-82C2-613C9D0DE700}" name="PT3_100525_246"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6:N49" firstHeaderRow="1" firstDataRow="2" firstDataCol="1"/>
  <pivotFields count="31">
    <pivotField showAll="0"/>
    <pivotField showAll="0"/>
    <pivotField showAll="0"/>
    <pivotField dataField="1" showAll="0"/>
    <pivotField showAll="0"/>
    <pivotField showAll="0"/>
    <pivotField showAll="0"/>
    <pivotField showAll="0"/>
    <pivotField axis="axisRow" showAll="0">
      <items count="14">
        <item x="0"/>
        <item x="2"/>
        <item x="3"/>
        <item x="4"/>
        <item x="5"/>
        <item x="6"/>
        <item x="7"/>
        <item x="8"/>
        <item x="10"/>
        <item x="11"/>
        <item x="12"/>
        <item h="1" x="9"/>
        <item h="1" x="1"/>
        <item t="default"/>
      </items>
    </pivotField>
    <pivotField showAll="0"/>
    <pivotField showAll="0"/>
    <pivotField showAll="0"/>
    <pivotField showAll="0"/>
    <pivotField showAll="0"/>
    <pivotField axis="axisCol" showAll="0">
      <items count="14">
        <item x="9"/>
        <item x="0"/>
        <item x="8"/>
        <item x="6"/>
        <item x="1"/>
        <item x="7"/>
        <item x="10"/>
        <item x="5"/>
        <item x="11"/>
        <item x="4"/>
        <item x="2"/>
        <item x="12"/>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12">
    <i>
      <x/>
    </i>
    <i>
      <x v="1"/>
    </i>
    <i>
      <x v="2"/>
    </i>
    <i>
      <x v="3"/>
    </i>
    <i>
      <x v="4"/>
    </i>
    <i>
      <x v="5"/>
    </i>
    <i>
      <x v="6"/>
    </i>
    <i>
      <x v="7"/>
    </i>
    <i>
      <x v="8"/>
    </i>
    <i>
      <x v="9"/>
    </i>
    <i>
      <x v="10"/>
    </i>
    <i t="grand">
      <x/>
    </i>
  </rowItems>
  <colFields count="1">
    <field x="14"/>
  </colFields>
  <colItems count="13">
    <i>
      <x/>
    </i>
    <i>
      <x v="1"/>
    </i>
    <i>
      <x v="2"/>
    </i>
    <i>
      <x v="3"/>
    </i>
    <i>
      <x v="4"/>
    </i>
    <i>
      <x v="5"/>
    </i>
    <i>
      <x v="6"/>
    </i>
    <i>
      <x v="7"/>
    </i>
    <i>
      <x v="8"/>
    </i>
    <i>
      <x v="9"/>
    </i>
    <i>
      <x v="10"/>
    </i>
    <i>
      <x v="11"/>
    </i>
    <i t="grand">
      <x/>
    </i>
  </colItems>
  <dataFields count="1">
    <dataField name="Jumlah Kota/Kab" fld="3"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3E2A812-CAEE-4D38-9238-50437FFE2408}" name="PT7_100525_531" cacheId="1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104:B109" firstHeaderRow="1" firstDataRow="1" firstDataCol="1"/>
  <pivotFields count="31">
    <pivotField showAll="0"/>
    <pivotField dataField="1" showAll="0"/>
    <pivotField showAll="0"/>
    <pivotField showAll="0"/>
    <pivotField showAll="0"/>
    <pivotField showAll="0"/>
    <pivotField showAll="0"/>
    <pivotField axis="axisRow" showAll="0">
      <items count="6">
        <item x="0"/>
        <item x="2"/>
        <item x="3"/>
        <item x="4"/>
        <item h="1"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7"/>
  </rowFields>
  <rowItems count="5">
    <i>
      <x/>
    </i>
    <i>
      <x v="1"/>
    </i>
    <i>
      <x v="2"/>
    </i>
    <i>
      <x v="3"/>
    </i>
    <i t="grand">
      <x/>
    </i>
  </rowItems>
  <colItems count="1">
    <i/>
  </colItems>
  <dataFields count="1">
    <dataField name="Jumlah Kegiatan" fld="1" subtotal="count" baseField="0" baseItem="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AD21C4E-E88F-41B9-9E15-297CFAD54108}" name="tblData" displayName="tblData" ref="A4:AE98" totalsRowShown="0" headerRowDxfId="33" dataDxfId="32" tableBorderDxfId="31">
  <autoFilter ref="A4:AE98" xr:uid="{8AD21C4E-E88F-41B9-9E15-297CFAD54108}"/>
  <tableColumns count="31">
    <tableColumn id="1" xr3:uid="{A5640E7B-263C-4DE8-BB1F-84F99C863003}" name="No" dataDxfId="30"/>
    <tableColumn id="2" xr3:uid="{2093056A-35FC-4962-85DF-C4C7EFF23EDB}" name="Nama Bank / Kegiatan Pengawasan" dataDxfId="29"/>
    <tableColumn id="3" xr3:uid="{E5F91B2A-B991-497B-AB8F-3A80F0119D41}" name="Nama PUJK" dataDxfId="28"/>
    <tableColumn id="11" xr3:uid="{B093E60F-5827-4773-BF29-FEFF57CF23A2}" name="Kota/Kab" dataDxfId="27"/>
    <tableColumn id="10" xr3:uid="{FE69B5A0-645C-453C-B9AB-8DC8AA74C4A3}" name="Sektor" dataDxfId="26"/>
    <tableColumn id="4" xr3:uid="{51053605-4502-4478-91AA-1E76AB9D50DE}" name="Jenis LJK" dataDxfId="25"/>
    <tableColumn id="5" xr3:uid="{2355686B-2E78-442B-A8CC-114F7AAD9E06}" name="Jenis Kegiatan" dataDxfId="24"/>
    <tableColumn id="6" xr3:uid="{7EFAEFFB-AEDA-4712-BFAD-3B634D94FEC8}" name="Kuartal (Q)" dataDxfId="23"/>
    <tableColumn id="8" xr3:uid="{671B4660-BA79-4F04-ADCA-02AF70DA227A}" name="Bulan" dataDxfId="22"/>
    <tableColumn id="7" xr3:uid="{CAB9F44E-7888-4807-BD42-4B96B8B645DF}" name="Tanggal Mulai" dataDxfId="21"/>
    <tableColumn id="12" xr3:uid="{86738078-C074-4CD8-9AFA-CDEC60940D78}" name="Tanggal Selesai" dataDxfId="20"/>
    <tableColumn id="20" xr3:uid="{2054D208-1F42-49C3-AA42-77B5518D07F5}" name="Supervisor" dataDxfId="19"/>
    <tableColumn id="21" xr3:uid="{8725E1AE-8751-4AB9-A008-375395654E3B}" name="Status Kegiatan" dataDxfId="18"/>
    <tableColumn id="9" xr3:uid="{F95C5322-5197-4E42-8C91-43DF21290E08}" name="Kategori_PUJK" dataDxfId="17"/>
    <tableColumn id="13" xr3:uid="{5CEA50A7-A296-4E01-81E5-D463D15B3E20}" name="Kategori_Kota" dataDxfId="16"/>
    <tableColumn id="14" xr3:uid="{E49A22E7-DB84-46EC-AD48-82B16BD0232A}" name="Kategori_Sektor" dataDxfId="15"/>
    <tableColumn id="15" xr3:uid="{B371268E-5B94-4D81-9F04-59D65E7A5DC0}" name="Kategori_LJK" dataDxfId="14"/>
    <tableColumn id="16" xr3:uid="{C0E13849-8E94-4A85-A784-DEB84715BEC2}" name="Kategori_JenisKegiatan" dataDxfId="13"/>
    <tableColumn id="17" xr3:uid="{48FD45EF-76E1-44E3-803D-63DB76313085}" name="Kategori_Supervisor" dataDxfId="12"/>
    <tableColumn id="18" xr3:uid="{772A4DE9-AA32-4572-A023-BEA67193ADB1}" name="Kategori_PUJK2" dataDxfId="11"/>
    <tableColumn id="19" xr3:uid="{33DFD33D-B318-41E5-B4CC-7B9031B503BC}" name="Kategori_Kota2" dataDxfId="10"/>
    <tableColumn id="22" xr3:uid="{10D49E64-22F7-412E-BBDE-4E3282B05283}" name="Kategori_Sektor2" dataDxfId="9"/>
    <tableColumn id="23" xr3:uid="{D0BCFFF5-BA17-45A7-A566-E9908D5B26D0}" name="Kategori_LJK2" dataDxfId="8"/>
    <tableColumn id="24" xr3:uid="{571F236A-3FC4-4E7E-93E5-08EC39C791CA}" name="Kategori_JenisKegiatan2" dataDxfId="7"/>
    <tableColumn id="25" xr3:uid="{01E8C546-14EA-4A5E-BF57-E587A6280C3F}" name="Kategori_Supervisor2" dataDxfId="6"/>
    <tableColumn id="26" xr3:uid="{58C1D0B0-2AFD-4572-A2DC-AC0719B8E842}" name="Kategori_PUJK3" dataDxfId="5"/>
    <tableColumn id="27" xr3:uid="{C5105937-6A11-414D-BC1E-B63A0CD91CFA}" name="Kategori_Kota3" dataDxfId="4"/>
    <tableColumn id="28" xr3:uid="{EB772092-CB95-4ACE-B392-65554FD403D6}" name="Kategori_Sektor3" dataDxfId="3"/>
    <tableColumn id="29" xr3:uid="{577BD939-B8CC-4BCA-9D91-179C346972AE}" name="Kategori_LJK3" dataDxfId="2"/>
    <tableColumn id="30" xr3:uid="{09CE567E-C99B-4DCB-B142-7DA560FAA131}" name="Kategori_JenisKegiatan3" dataDxfId="1"/>
    <tableColumn id="31" xr3:uid="{107B32F9-B400-4D59-A3E6-8C1AD53F8C8D}" name="Kategori_Supervisor3" dataDxfId="0"/>
  </tableColumns>
  <tableStyleInfo name="TableStyleLight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drawing" Target="../drawings/drawing1.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26149D-892F-460F-9533-DFAC69938B61}">
  <sheetPr codeName="Sheet1"/>
  <dimension ref="A1:AE101"/>
  <sheetViews>
    <sheetView tabSelected="1" topLeftCell="A59" zoomScale="67" zoomScaleNormal="79" workbookViewId="0">
      <selection activeCell="D63" sqref="D63"/>
    </sheetView>
  </sheetViews>
  <sheetFormatPr defaultRowHeight="15" x14ac:dyDescent="0.25"/>
  <cols>
    <col min="1" max="1" width="6.5703125" customWidth="1"/>
    <col min="2" max="2" width="96.28515625" bestFit="1" customWidth="1"/>
    <col min="3" max="3" width="37.7109375" customWidth="1"/>
    <col min="4" max="5" width="35.7109375" customWidth="1"/>
    <col min="6" max="7" width="19.85546875" customWidth="1"/>
    <col min="8" max="8" width="26.28515625" customWidth="1"/>
    <col min="9" max="9" width="19.5703125" customWidth="1"/>
    <col min="10" max="11" width="22.42578125" customWidth="1"/>
    <col min="12" max="12" width="14.140625" customWidth="1"/>
    <col min="13" max="13" width="24" style="29" customWidth="1"/>
    <col min="14" max="14" width="11.5703125" hidden="1" customWidth="1"/>
    <col min="15" max="15" width="11.28515625" hidden="1" customWidth="1"/>
    <col min="16" max="16" width="8.85546875" hidden="1" customWidth="1"/>
    <col min="17" max="17" width="12.5703125" hidden="1" customWidth="1"/>
    <col min="18" max="19" width="9.42578125" hidden="1" customWidth="1"/>
    <col min="20" max="21" width="8.85546875" hidden="1" customWidth="1"/>
    <col min="22" max="31" width="0" hidden="1" customWidth="1"/>
  </cols>
  <sheetData>
    <row r="1" spans="1:31" ht="15" customHeight="1" x14ac:dyDescent="0.25">
      <c r="A1" s="69" t="s">
        <v>0</v>
      </c>
      <c r="B1" s="69"/>
      <c r="C1" s="69"/>
      <c r="D1" s="69"/>
      <c r="E1" s="69"/>
      <c r="F1" s="69"/>
      <c r="G1" s="69"/>
      <c r="H1" s="69"/>
    </row>
    <row r="2" spans="1:31" x14ac:dyDescent="0.25">
      <c r="A2" s="69"/>
      <c r="B2" s="69"/>
      <c r="C2" s="69"/>
      <c r="D2" s="69"/>
      <c r="E2" s="69"/>
      <c r="F2" s="69"/>
      <c r="G2" s="69"/>
      <c r="H2" s="69"/>
    </row>
    <row r="3" spans="1:31" x14ac:dyDescent="0.25">
      <c r="A3" s="70"/>
      <c r="B3" s="70"/>
      <c r="C3" s="70"/>
      <c r="D3" s="70"/>
      <c r="E3" s="70"/>
      <c r="F3" s="70"/>
      <c r="G3" s="70"/>
      <c r="H3" s="70"/>
    </row>
    <row r="4" spans="1:31" ht="15.75" customHeight="1" x14ac:dyDescent="0.25">
      <c r="A4" s="12" t="s">
        <v>1</v>
      </c>
      <c r="B4" s="13" t="s">
        <v>171</v>
      </c>
      <c r="C4" s="13" t="s">
        <v>139</v>
      </c>
      <c r="D4" s="13" t="s">
        <v>156</v>
      </c>
      <c r="E4" s="13" t="s">
        <v>143</v>
      </c>
      <c r="F4" s="13" t="s">
        <v>142</v>
      </c>
      <c r="G4" s="14" t="s">
        <v>91</v>
      </c>
      <c r="H4" s="14" t="s">
        <v>94</v>
      </c>
      <c r="I4" s="14" t="s">
        <v>138</v>
      </c>
      <c r="J4" s="14" t="s">
        <v>168</v>
      </c>
      <c r="K4" s="14" t="s">
        <v>169</v>
      </c>
      <c r="L4" s="15" t="s">
        <v>92</v>
      </c>
      <c r="M4" s="15" t="s">
        <v>93</v>
      </c>
      <c r="N4" s="10" t="s">
        <v>192</v>
      </c>
      <c r="O4" s="10" t="s">
        <v>193</v>
      </c>
      <c r="P4" s="63" t="s">
        <v>194</v>
      </c>
      <c r="Q4" s="63" t="s">
        <v>195</v>
      </c>
      <c r="R4" s="64" t="s">
        <v>196</v>
      </c>
      <c r="S4" s="10" t="s">
        <v>197</v>
      </c>
      <c r="T4" s="63" t="s">
        <v>207</v>
      </c>
      <c r="U4" s="63" t="s">
        <v>208</v>
      </c>
      <c r="V4" s="64" t="s">
        <v>209</v>
      </c>
      <c r="W4" s="10" t="s">
        <v>210</v>
      </c>
      <c r="X4" s="68" t="s">
        <v>211</v>
      </c>
      <c r="Y4" s="68" t="s">
        <v>212</v>
      </c>
      <c r="Z4" s="68" t="s">
        <v>213</v>
      </c>
      <c r="AA4" s="68" t="s">
        <v>214</v>
      </c>
      <c r="AB4" s="68" t="s">
        <v>215</v>
      </c>
      <c r="AC4" s="68" t="s">
        <v>216</v>
      </c>
      <c r="AD4" s="68" t="s">
        <v>217</v>
      </c>
      <c r="AE4" s="68" t="s">
        <v>218</v>
      </c>
    </row>
    <row r="5" spans="1:31" ht="60" x14ac:dyDescent="0.25">
      <c r="A5" s="11">
        <v>1</v>
      </c>
      <c r="B5" s="2" t="s">
        <v>2</v>
      </c>
      <c r="C5" s="2" t="s">
        <v>104</v>
      </c>
      <c r="D5" s="2" t="s">
        <v>161</v>
      </c>
      <c r="E5" s="2" t="s">
        <v>144</v>
      </c>
      <c r="F5" s="2" t="s">
        <v>150</v>
      </c>
      <c r="G5" s="2" t="s">
        <v>125</v>
      </c>
      <c r="H5" s="1" t="s">
        <v>132</v>
      </c>
      <c r="I5" s="1" t="str">
        <f>TEXT(tblData[[#This Row],[Tanggal Mulai]],"[$-id-ID]mmmm")</f>
        <v>Januari</v>
      </c>
      <c r="J5" s="41">
        <v>46035</v>
      </c>
      <c r="K5" s="41">
        <v>46035</v>
      </c>
      <c r="L5" s="1" t="s">
        <v>136</v>
      </c>
      <c r="M5" s="1" t="s">
        <v>95</v>
      </c>
      <c r="N5" s="1" t="s">
        <v>140</v>
      </c>
      <c r="O5" s="1" t="s">
        <v>161</v>
      </c>
      <c r="P5" s="1" t="s">
        <v>144</v>
      </c>
      <c r="Q5" s="1" t="s">
        <v>150</v>
      </c>
      <c r="R5" s="1" t="s">
        <v>125</v>
      </c>
      <c r="S5" s="1" t="s">
        <v>136</v>
      </c>
      <c r="T5" s="1" t="s">
        <v>140</v>
      </c>
      <c r="U5" s="1" t="s">
        <v>161</v>
      </c>
      <c r="V5" s="1" t="s">
        <v>144</v>
      </c>
      <c r="W5" s="61" t="s">
        <v>150</v>
      </c>
      <c r="X5" s="61" t="s">
        <v>125</v>
      </c>
      <c r="Y5" s="61" t="s">
        <v>136</v>
      </c>
      <c r="Z5" s="61" t="s">
        <v>140</v>
      </c>
      <c r="AA5" s="61" t="s">
        <v>161</v>
      </c>
      <c r="AB5" s="61" t="s">
        <v>144</v>
      </c>
      <c r="AC5" s="61" t="s">
        <v>150</v>
      </c>
      <c r="AD5" s="61" t="s">
        <v>125</v>
      </c>
      <c r="AE5" s="61" t="s">
        <v>136</v>
      </c>
    </row>
    <row r="6" spans="1:31" ht="60" x14ac:dyDescent="0.25">
      <c r="A6" s="11">
        <v>2</v>
      </c>
      <c r="B6" s="2" t="s">
        <v>3</v>
      </c>
      <c r="C6" s="2" t="s">
        <v>105</v>
      </c>
      <c r="D6" s="2" t="s">
        <v>166</v>
      </c>
      <c r="E6" s="2" t="s">
        <v>144</v>
      </c>
      <c r="F6" s="2" t="s">
        <v>98</v>
      </c>
      <c r="G6" s="2" t="s">
        <v>125</v>
      </c>
      <c r="H6" s="1" t="s">
        <v>132</v>
      </c>
      <c r="I6" s="1" t="str">
        <f>TEXT(tblData[[#This Row],[Tanggal Mulai]],"[$-id-ID]mmmm")</f>
        <v>Januari</v>
      </c>
      <c r="J6" s="42">
        <v>46036</v>
      </c>
      <c r="K6" s="42">
        <v>46036</v>
      </c>
      <c r="L6" s="1" t="s">
        <v>137</v>
      </c>
      <c r="M6" s="1" t="s">
        <v>95</v>
      </c>
      <c r="N6" s="1" t="s">
        <v>140</v>
      </c>
      <c r="O6" s="1" t="s">
        <v>166</v>
      </c>
      <c r="P6" s="1" t="s">
        <v>144</v>
      </c>
      <c r="Q6" s="1" t="s">
        <v>98</v>
      </c>
      <c r="R6" s="1" t="s">
        <v>125</v>
      </c>
      <c r="S6" s="1" t="s">
        <v>137</v>
      </c>
      <c r="T6" s="1" t="s">
        <v>140</v>
      </c>
      <c r="U6" s="1" t="s">
        <v>166</v>
      </c>
      <c r="V6" s="1" t="s">
        <v>144</v>
      </c>
      <c r="W6" s="61" t="s">
        <v>98</v>
      </c>
      <c r="X6" s="61" t="s">
        <v>125</v>
      </c>
      <c r="Y6" s="61" t="s">
        <v>137</v>
      </c>
      <c r="Z6" s="61" t="s">
        <v>140</v>
      </c>
      <c r="AA6" s="61" t="s">
        <v>166</v>
      </c>
      <c r="AB6" s="61" t="s">
        <v>144</v>
      </c>
      <c r="AC6" s="61" t="s">
        <v>98</v>
      </c>
      <c r="AD6" s="61" t="s">
        <v>125</v>
      </c>
      <c r="AE6" s="61" t="s">
        <v>137</v>
      </c>
    </row>
    <row r="7" spans="1:31" ht="45" x14ac:dyDescent="0.25">
      <c r="A7" s="11">
        <v>3</v>
      </c>
      <c r="B7" s="2" t="s">
        <v>4</v>
      </c>
      <c r="C7" s="2" t="s">
        <v>106</v>
      </c>
      <c r="D7" s="2" t="s">
        <v>157</v>
      </c>
      <c r="E7" s="2" t="s">
        <v>144</v>
      </c>
      <c r="F7" s="2" t="s">
        <v>98</v>
      </c>
      <c r="G7" s="2" t="s">
        <v>124</v>
      </c>
      <c r="H7" s="1" t="s">
        <v>132</v>
      </c>
      <c r="I7" s="1" t="str">
        <f>TEXT(tblData[[#This Row],[Tanggal Mulai]],"[$-id-ID]mmmm")</f>
        <v>Januari</v>
      </c>
      <c r="J7" s="42">
        <v>46036</v>
      </c>
      <c r="K7" s="42">
        <v>46036</v>
      </c>
      <c r="L7" s="1" t="s">
        <v>136</v>
      </c>
      <c r="M7" s="1" t="s">
        <v>95</v>
      </c>
      <c r="N7" s="1" t="s">
        <v>140</v>
      </c>
      <c r="O7" s="1" t="s">
        <v>157</v>
      </c>
      <c r="P7" s="1" t="s">
        <v>144</v>
      </c>
      <c r="Q7" s="1" t="s">
        <v>98</v>
      </c>
      <c r="R7" s="1" t="s">
        <v>124</v>
      </c>
      <c r="S7" s="1" t="s">
        <v>136</v>
      </c>
      <c r="T7" s="1" t="s">
        <v>140</v>
      </c>
      <c r="U7" s="1" t="s">
        <v>157</v>
      </c>
      <c r="V7" s="1" t="s">
        <v>144</v>
      </c>
      <c r="W7" s="61" t="s">
        <v>98</v>
      </c>
      <c r="X7" s="61" t="s">
        <v>124</v>
      </c>
      <c r="Y7" s="61" t="s">
        <v>136</v>
      </c>
      <c r="Z7" s="61" t="s">
        <v>140</v>
      </c>
      <c r="AA7" s="61" t="s">
        <v>157</v>
      </c>
      <c r="AB7" s="61" t="s">
        <v>144</v>
      </c>
      <c r="AC7" s="61" t="s">
        <v>98</v>
      </c>
      <c r="AD7" s="61" t="s">
        <v>124</v>
      </c>
      <c r="AE7" s="61" t="s">
        <v>136</v>
      </c>
    </row>
    <row r="8" spans="1:31" ht="60" x14ac:dyDescent="0.25">
      <c r="A8" s="11">
        <v>4</v>
      </c>
      <c r="B8" s="2" t="s">
        <v>5</v>
      </c>
      <c r="C8" s="2" t="s">
        <v>145</v>
      </c>
      <c r="D8" s="2" t="s">
        <v>157</v>
      </c>
      <c r="E8" s="2" t="s">
        <v>146</v>
      </c>
      <c r="F8" s="2" t="s">
        <v>99</v>
      </c>
      <c r="G8" s="2" t="s">
        <v>125</v>
      </c>
      <c r="H8" s="1" t="s">
        <v>132</v>
      </c>
      <c r="I8" s="1" t="str">
        <f>TEXT(tblData[[#This Row],[Tanggal Mulai]],"[$-id-ID]mmmm")</f>
        <v>Januari</v>
      </c>
      <c r="J8" s="42">
        <v>46037</v>
      </c>
      <c r="K8" s="42">
        <v>46037</v>
      </c>
      <c r="L8" s="1" t="s">
        <v>137</v>
      </c>
      <c r="M8" s="1" t="s">
        <v>95</v>
      </c>
      <c r="N8" s="1" t="s">
        <v>140</v>
      </c>
      <c r="O8" s="1" t="s">
        <v>157</v>
      </c>
      <c r="P8" s="1" t="s">
        <v>146</v>
      </c>
      <c r="Q8" s="1" t="s">
        <v>140</v>
      </c>
      <c r="R8" s="1" t="s">
        <v>125</v>
      </c>
      <c r="S8" s="1" t="s">
        <v>137</v>
      </c>
      <c r="T8" s="1" t="s">
        <v>140</v>
      </c>
      <c r="U8" s="1" t="s">
        <v>157</v>
      </c>
      <c r="V8" s="1" t="s">
        <v>146</v>
      </c>
      <c r="W8" s="61" t="s">
        <v>140</v>
      </c>
      <c r="X8" s="61" t="s">
        <v>125</v>
      </c>
      <c r="Y8" s="61" t="s">
        <v>137</v>
      </c>
      <c r="Z8" s="61" t="s">
        <v>140</v>
      </c>
      <c r="AA8" s="61" t="s">
        <v>157</v>
      </c>
      <c r="AB8" s="61" t="s">
        <v>146</v>
      </c>
      <c r="AC8" s="61" t="s">
        <v>140</v>
      </c>
      <c r="AD8" s="61" t="s">
        <v>125</v>
      </c>
      <c r="AE8" s="61" t="s">
        <v>137</v>
      </c>
    </row>
    <row r="9" spans="1:31" ht="90" x14ac:dyDescent="0.25">
      <c r="A9" s="11">
        <v>5</v>
      </c>
      <c r="B9" s="2" t="s">
        <v>6</v>
      </c>
      <c r="C9" s="2" t="s">
        <v>107</v>
      </c>
      <c r="D9" s="2" t="s">
        <v>157</v>
      </c>
      <c r="E9" s="2" t="s">
        <v>144</v>
      </c>
      <c r="F9" s="2" t="s">
        <v>100</v>
      </c>
      <c r="G9" s="2" t="s">
        <v>125</v>
      </c>
      <c r="H9" s="1" t="s">
        <v>132</v>
      </c>
      <c r="I9" s="1" t="str">
        <f>TEXT(tblData[[#This Row],[Tanggal Mulai]],"[$-id-ID]mmmm")</f>
        <v>Januari</v>
      </c>
      <c r="J9" s="42">
        <v>46037</v>
      </c>
      <c r="K9" s="42">
        <v>46037</v>
      </c>
      <c r="L9" s="1" t="s">
        <v>136</v>
      </c>
      <c r="M9" s="1" t="s">
        <v>95</v>
      </c>
      <c r="N9" s="1" t="s">
        <v>107</v>
      </c>
      <c r="O9" s="1" t="s">
        <v>157</v>
      </c>
      <c r="P9" s="1" t="s">
        <v>144</v>
      </c>
      <c r="Q9" s="1" t="s">
        <v>100</v>
      </c>
      <c r="R9" s="1" t="s">
        <v>125</v>
      </c>
      <c r="S9" s="1" t="s">
        <v>136</v>
      </c>
      <c r="T9" s="1" t="s">
        <v>107</v>
      </c>
      <c r="U9" s="1" t="s">
        <v>157</v>
      </c>
      <c r="V9" s="1" t="s">
        <v>144</v>
      </c>
      <c r="W9" s="61" t="s">
        <v>100</v>
      </c>
      <c r="X9" s="61" t="s">
        <v>125</v>
      </c>
      <c r="Y9" s="61" t="s">
        <v>136</v>
      </c>
      <c r="Z9" s="61" t="s">
        <v>107</v>
      </c>
      <c r="AA9" s="61" t="s">
        <v>157</v>
      </c>
      <c r="AB9" s="61" t="s">
        <v>144</v>
      </c>
      <c r="AC9" s="61" t="s">
        <v>100</v>
      </c>
      <c r="AD9" s="61" t="s">
        <v>125</v>
      </c>
      <c r="AE9" s="61" t="s">
        <v>136</v>
      </c>
    </row>
    <row r="10" spans="1:31" x14ac:dyDescent="0.25">
      <c r="A10" s="19">
        <v>6</v>
      </c>
      <c r="B10" s="4" t="s">
        <v>7</v>
      </c>
      <c r="C10" s="4"/>
      <c r="D10" s="4"/>
      <c r="E10" s="4"/>
      <c r="F10" s="4"/>
      <c r="G10" s="5"/>
      <c r="H10" s="5"/>
      <c r="I10" s="5"/>
      <c r="J10" s="43"/>
      <c r="K10" s="43"/>
      <c r="L10" s="6"/>
      <c r="M10" s="6"/>
      <c r="N10" s="6"/>
      <c r="O10" s="6"/>
      <c r="P10" s="6"/>
      <c r="Q10" s="6"/>
      <c r="R10" s="6"/>
      <c r="S10" s="6"/>
      <c r="T10" s="6"/>
      <c r="U10" s="6"/>
      <c r="V10" s="6"/>
      <c r="W10" s="61"/>
      <c r="X10" s="61"/>
      <c r="Y10" s="61"/>
      <c r="Z10" s="61"/>
      <c r="AA10" s="61"/>
      <c r="AB10" s="61"/>
      <c r="AC10" s="61"/>
      <c r="AD10" s="61"/>
      <c r="AE10" s="61"/>
    </row>
    <row r="11" spans="1:31" ht="90" x14ac:dyDescent="0.25">
      <c r="A11" s="11">
        <v>7</v>
      </c>
      <c r="B11" s="2" t="s">
        <v>8</v>
      </c>
      <c r="C11" s="2" t="s">
        <v>8</v>
      </c>
      <c r="D11" s="2" t="s">
        <v>158</v>
      </c>
      <c r="E11" s="2" t="s">
        <v>144</v>
      </c>
      <c r="F11" s="2" t="s">
        <v>98</v>
      </c>
      <c r="G11" s="2" t="s">
        <v>124</v>
      </c>
      <c r="H11" s="1" t="s">
        <v>132</v>
      </c>
      <c r="I11" s="1" t="str">
        <f>TEXT(tblData[[#This Row],[Tanggal Mulai]],"[$-id-ID]mmmm")</f>
        <v>Januari</v>
      </c>
      <c r="J11" s="42">
        <v>46041</v>
      </c>
      <c r="K11" s="42">
        <v>46041</v>
      </c>
      <c r="L11" s="1" t="s">
        <v>136</v>
      </c>
      <c r="M11" s="1" t="s">
        <v>95</v>
      </c>
      <c r="N11" s="1" t="s">
        <v>8</v>
      </c>
      <c r="O11" s="1" t="s">
        <v>158</v>
      </c>
      <c r="P11" s="1" t="s">
        <v>144</v>
      </c>
      <c r="Q11" s="1" t="s">
        <v>98</v>
      </c>
      <c r="R11" s="1" t="s">
        <v>124</v>
      </c>
      <c r="S11" s="1" t="s">
        <v>136</v>
      </c>
      <c r="T11" s="1" t="s">
        <v>8</v>
      </c>
      <c r="U11" s="1" t="s">
        <v>158</v>
      </c>
      <c r="V11" s="1" t="s">
        <v>144</v>
      </c>
      <c r="W11" s="61" t="s">
        <v>98</v>
      </c>
      <c r="X11" s="61" t="s">
        <v>124</v>
      </c>
      <c r="Y11" s="61" t="s">
        <v>136</v>
      </c>
      <c r="Z11" s="61" t="s">
        <v>8</v>
      </c>
      <c r="AA11" s="61" t="s">
        <v>158</v>
      </c>
      <c r="AB11" s="61" t="s">
        <v>144</v>
      </c>
      <c r="AC11" s="61" t="s">
        <v>98</v>
      </c>
      <c r="AD11" s="61" t="s">
        <v>124</v>
      </c>
      <c r="AE11" s="61" t="s">
        <v>136</v>
      </c>
    </row>
    <row r="12" spans="1:31" ht="90" x14ac:dyDescent="0.25">
      <c r="A12" s="11">
        <v>8</v>
      </c>
      <c r="B12" s="7" t="s">
        <v>9</v>
      </c>
      <c r="C12" s="2" t="s">
        <v>107</v>
      </c>
      <c r="D12" s="2" t="s">
        <v>157</v>
      </c>
      <c r="E12" s="2" t="s">
        <v>144</v>
      </c>
      <c r="F12" s="2" t="s">
        <v>101</v>
      </c>
      <c r="G12" s="2" t="s">
        <v>124</v>
      </c>
      <c r="H12" s="1" t="s">
        <v>132</v>
      </c>
      <c r="I12" s="1" t="str">
        <f>TEXT(tblData[[#This Row],[Tanggal Mulai]],"[$-id-ID]mmmm")</f>
        <v>Januari</v>
      </c>
      <c r="J12" s="42">
        <v>46041</v>
      </c>
      <c r="K12" s="42">
        <v>46041</v>
      </c>
      <c r="L12" s="1" t="s">
        <v>137</v>
      </c>
      <c r="M12" s="1" t="s">
        <v>95</v>
      </c>
      <c r="N12" s="1" t="s">
        <v>107</v>
      </c>
      <c r="O12" s="1" t="s">
        <v>157</v>
      </c>
      <c r="P12" s="1" t="s">
        <v>144</v>
      </c>
      <c r="Q12" s="1" t="s">
        <v>101</v>
      </c>
      <c r="R12" s="1" t="s">
        <v>124</v>
      </c>
      <c r="S12" s="1" t="s">
        <v>137</v>
      </c>
      <c r="T12" s="1" t="s">
        <v>107</v>
      </c>
      <c r="U12" s="1" t="s">
        <v>157</v>
      </c>
      <c r="V12" s="1" t="s">
        <v>144</v>
      </c>
      <c r="W12" s="61" t="s">
        <v>101</v>
      </c>
      <c r="X12" s="61" t="s">
        <v>124</v>
      </c>
      <c r="Y12" s="61" t="s">
        <v>137</v>
      </c>
      <c r="Z12" s="61" t="s">
        <v>107</v>
      </c>
      <c r="AA12" s="61" t="s">
        <v>157</v>
      </c>
      <c r="AB12" s="61" t="s">
        <v>144</v>
      </c>
      <c r="AC12" s="61" t="s">
        <v>101</v>
      </c>
      <c r="AD12" s="61" t="s">
        <v>124</v>
      </c>
      <c r="AE12" s="61" t="s">
        <v>137</v>
      </c>
    </row>
    <row r="13" spans="1:31" ht="90" x14ac:dyDescent="0.25">
      <c r="A13" s="11">
        <v>9</v>
      </c>
      <c r="B13" s="7" t="s">
        <v>10</v>
      </c>
      <c r="C13" s="7" t="s">
        <v>149</v>
      </c>
      <c r="D13" s="2" t="s">
        <v>157</v>
      </c>
      <c r="E13" s="7" t="s">
        <v>146</v>
      </c>
      <c r="F13" s="2" t="s">
        <v>131</v>
      </c>
      <c r="G13" s="2" t="s">
        <v>124</v>
      </c>
      <c r="H13" s="1" t="s">
        <v>132</v>
      </c>
      <c r="I13" s="1" t="str">
        <f>TEXT(tblData[[#This Row],[Tanggal Mulai]],"[$-id-ID]mmmm")</f>
        <v>Januari</v>
      </c>
      <c r="J13" s="42">
        <v>46041</v>
      </c>
      <c r="K13" s="42">
        <v>46041</v>
      </c>
      <c r="L13" s="1" t="s">
        <v>136</v>
      </c>
      <c r="M13" s="1" t="s">
        <v>95</v>
      </c>
      <c r="N13" s="1" t="s">
        <v>149</v>
      </c>
      <c r="O13" s="1" t="s">
        <v>157</v>
      </c>
      <c r="P13" s="1" t="s">
        <v>146</v>
      </c>
      <c r="Q13" s="1" t="s">
        <v>131</v>
      </c>
      <c r="R13" s="1" t="s">
        <v>124</v>
      </c>
      <c r="S13" s="1" t="s">
        <v>136</v>
      </c>
      <c r="T13" s="1" t="s">
        <v>149</v>
      </c>
      <c r="U13" s="1" t="s">
        <v>157</v>
      </c>
      <c r="V13" s="1" t="s">
        <v>146</v>
      </c>
      <c r="W13" s="61" t="s">
        <v>131</v>
      </c>
      <c r="X13" s="61" t="s">
        <v>124</v>
      </c>
      <c r="Y13" s="61" t="s">
        <v>136</v>
      </c>
      <c r="Z13" s="61" t="s">
        <v>149</v>
      </c>
      <c r="AA13" s="61" t="s">
        <v>157</v>
      </c>
      <c r="AB13" s="61" t="s">
        <v>146</v>
      </c>
      <c r="AC13" s="61" t="s">
        <v>131</v>
      </c>
      <c r="AD13" s="61" t="s">
        <v>124</v>
      </c>
      <c r="AE13" s="61" t="s">
        <v>136</v>
      </c>
    </row>
    <row r="14" spans="1:31" ht="60" x14ac:dyDescent="0.25">
      <c r="A14" s="11">
        <v>10</v>
      </c>
      <c r="B14" s="2" t="s">
        <v>11</v>
      </c>
      <c r="C14" s="7" t="s">
        <v>109</v>
      </c>
      <c r="D14" s="2" t="s">
        <v>159</v>
      </c>
      <c r="E14" s="7" t="s">
        <v>144</v>
      </c>
      <c r="F14" s="2" t="s">
        <v>98</v>
      </c>
      <c r="G14" s="2" t="s">
        <v>125</v>
      </c>
      <c r="H14" s="1" t="s">
        <v>132</v>
      </c>
      <c r="I14" s="1" t="str">
        <f>TEXT(tblData[[#This Row],[Tanggal Mulai]],"[$-id-ID]mmmm")</f>
        <v>Januari</v>
      </c>
      <c r="J14" s="42">
        <v>46042</v>
      </c>
      <c r="K14" s="42">
        <v>46042</v>
      </c>
      <c r="L14" s="1" t="s">
        <v>137</v>
      </c>
      <c r="M14" s="1" t="s">
        <v>95</v>
      </c>
      <c r="N14" s="1" t="s">
        <v>140</v>
      </c>
      <c r="O14" s="1" t="s">
        <v>159</v>
      </c>
      <c r="P14" s="1"/>
      <c r="Q14" s="1" t="s">
        <v>98</v>
      </c>
      <c r="R14" s="1" t="s">
        <v>125</v>
      </c>
      <c r="S14" s="1" t="s">
        <v>137</v>
      </c>
      <c r="T14" s="1" t="s">
        <v>140</v>
      </c>
      <c r="U14" s="1" t="s">
        <v>159</v>
      </c>
      <c r="V14" s="1" t="s">
        <v>144</v>
      </c>
      <c r="W14" s="61" t="s">
        <v>98</v>
      </c>
      <c r="X14" s="61" t="s">
        <v>125</v>
      </c>
      <c r="Y14" s="61" t="s">
        <v>137</v>
      </c>
      <c r="Z14" s="61" t="s">
        <v>140</v>
      </c>
      <c r="AA14" s="61" t="s">
        <v>159</v>
      </c>
      <c r="AB14" s="61" t="s">
        <v>144</v>
      </c>
      <c r="AC14" s="61" t="s">
        <v>98</v>
      </c>
      <c r="AD14" s="61" t="s">
        <v>125</v>
      </c>
      <c r="AE14" s="61" t="s">
        <v>137</v>
      </c>
    </row>
    <row r="15" spans="1:31" ht="75" x14ac:dyDescent="0.25">
      <c r="A15" s="11">
        <v>11</v>
      </c>
      <c r="B15" s="7" t="s">
        <v>12</v>
      </c>
      <c r="C15" s="7" t="s">
        <v>110</v>
      </c>
      <c r="D15" s="2" t="s">
        <v>160</v>
      </c>
      <c r="E15" s="7" t="s">
        <v>144</v>
      </c>
      <c r="F15" s="2" t="s">
        <v>98</v>
      </c>
      <c r="G15" s="2" t="s">
        <v>124</v>
      </c>
      <c r="H15" s="1" t="s">
        <v>132</v>
      </c>
      <c r="I15" s="1" t="str">
        <f>TEXT(tblData[[#This Row],[Tanggal Mulai]],"[$-id-ID]mmmm")</f>
        <v>Januari</v>
      </c>
      <c r="J15" s="42">
        <v>46042</v>
      </c>
      <c r="K15" s="42">
        <v>46042</v>
      </c>
      <c r="L15" s="1" t="s">
        <v>137</v>
      </c>
      <c r="M15" s="1" t="s">
        <v>95</v>
      </c>
      <c r="N15" s="1" t="s">
        <v>140</v>
      </c>
      <c r="O15" s="1" t="s">
        <v>160</v>
      </c>
      <c r="P15" s="1" t="s">
        <v>144</v>
      </c>
      <c r="Q15" s="1" t="s">
        <v>98</v>
      </c>
      <c r="R15" s="1" t="s">
        <v>124</v>
      </c>
      <c r="S15" s="1" t="s">
        <v>137</v>
      </c>
      <c r="T15" s="1" t="s">
        <v>140</v>
      </c>
      <c r="U15" s="1" t="s">
        <v>160</v>
      </c>
      <c r="V15" s="1" t="s">
        <v>144</v>
      </c>
      <c r="W15" s="61" t="s">
        <v>98</v>
      </c>
      <c r="X15" s="61" t="s">
        <v>124</v>
      </c>
      <c r="Y15" s="61" t="s">
        <v>137</v>
      </c>
      <c r="Z15" s="61" t="s">
        <v>140</v>
      </c>
      <c r="AA15" s="61" t="s">
        <v>160</v>
      </c>
      <c r="AB15" s="61" t="s">
        <v>144</v>
      </c>
      <c r="AC15" s="61" t="s">
        <v>98</v>
      </c>
      <c r="AD15" s="61" t="s">
        <v>124</v>
      </c>
      <c r="AE15" s="61" t="s">
        <v>137</v>
      </c>
    </row>
    <row r="16" spans="1:31" ht="45" x14ac:dyDescent="0.25">
      <c r="A16" s="11">
        <v>12</v>
      </c>
      <c r="B16" s="7" t="s">
        <v>13</v>
      </c>
      <c r="C16" s="7" t="s">
        <v>111</v>
      </c>
      <c r="D16" s="2" t="s">
        <v>161</v>
      </c>
      <c r="E16" s="7" t="s">
        <v>144</v>
      </c>
      <c r="F16" s="2" t="s">
        <v>98</v>
      </c>
      <c r="G16" s="2" t="s">
        <v>124</v>
      </c>
      <c r="H16" s="1" t="s">
        <v>132</v>
      </c>
      <c r="I16" s="1" t="str">
        <f>TEXT(tblData[[#This Row],[Tanggal Mulai]],"[$-id-ID]mmmm")</f>
        <v>Januari</v>
      </c>
      <c r="J16" s="42">
        <v>46042</v>
      </c>
      <c r="K16" s="42">
        <v>46042</v>
      </c>
      <c r="L16" s="1" t="s">
        <v>136</v>
      </c>
      <c r="M16" s="1" t="s">
        <v>95</v>
      </c>
      <c r="N16" s="1" t="s">
        <v>140</v>
      </c>
      <c r="O16" s="1" t="s">
        <v>161</v>
      </c>
      <c r="P16" s="1" t="s">
        <v>144</v>
      </c>
      <c r="Q16" s="1" t="s">
        <v>98</v>
      </c>
      <c r="R16" s="1" t="s">
        <v>124</v>
      </c>
      <c r="S16" s="1" t="s">
        <v>136</v>
      </c>
      <c r="T16" s="1" t="s">
        <v>140</v>
      </c>
      <c r="U16" s="1" t="s">
        <v>161</v>
      </c>
      <c r="V16" s="1" t="s">
        <v>144</v>
      </c>
      <c r="W16" s="61" t="s">
        <v>98</v>
      </c>
      <c r="X16" s="61" t="s">
        <v>124</v>
      </c>
      <c r="Y16" s="61" t="s">
        <v>136</v>
      </c>
      <c r="Z16" s="61" t="s">
        <v>140</v>
      </c>
      <c r="AA16" s="61" t="s">
        <v>161</v>
      </c>
      <c r="AB16" s="61" t="s">
        <v>144</v>
      </c>
      <c r="AC16" s="61" t="s">
        <v>98</v>
      </c>
      <c r="AD16" s="61" t="s">
        <v>124</v>
      </c>
      <c r="AE16" s="61" t="s">
        <v>136</v>
      </c>
    </row>
    <row r="17" spans="1:31" ht="60" x14ac:dyDescent="0.25">
      <c r="A17" s="11">
        <v>13</v>
      </c>
      <c r="B17" s="2" t="s">
        <v>14</v>
      </c>
      <c r="C17" s="2" t="s">
        <v>112</v>
      </c>
      <c r="D17" s="2" t="s">
        <v>162</v>
      </c>
      <c r="E17" s="2"/>
      <c r="F17" s="2" t="s">
        <v>98</v>
      </c>
      <c r="G17" s="2" t="s">
        <v>124</v>
      </c>
      <c r="H17" s="1" t="s">
        <v>132</v>
      </c>
      <c r="I17" s="1" t="str">
        <f>TEXT(tblData[[#This Row],[Tanggal Mulai]],"[$-id-ID]mmmm")</f>
        <v>Januari</v>
      </c>
      <c r="J17" s="42">
        <v>46043</v>
      </c>
      <c r="K17" s="42">
        <v>46043</v>
      </c>
      <c r="L17" s="1" t="s">
        <v>137</v>
      </c>
      <c r="M17" s="1" t="s">
        <v>95</v>
      </c>
      <c r="N17" s="1" t="s">
        <v>140</v>
      </c>
      <c r="O17" s="1" t="s">
        <v>162</v>
      </c>
      <c r="P17" s="1"/>
      <c r="Q17" s="1" t="s">
        <v>98</v>
      </c>
      <c r="R17" s="1" t="s">
        <v>124</v>
      </c>
      <c r="S17" s="1" t="s">
        <v>137</v>
      </c>
      <c r="T17" s="1" t="s">
        <v>140</v>
      </c>
      <c r="U17" s="1" t="s">
        <v>162</v>
      </c>
      <c r="V17" s="1"/>
      <c r="W17" s="61" t="s">
        <v>98</v>
      </c>
      <c r="X17" s="61" t="s">
        <v>124</v>
      </c>
      <c r="Y17" s="61" t="s">
        <v>137</v>
      </c>
      <c r="Z17" s="61" t="s">
        <v>140</v>
      </c>
      <c r="AA17" s="61" t="s">
        <v>162</v>
      </c>
      <c r="AB17" s="61"/>
      <c r="AC17" s="61" t="s">
        <v>98</v>
      </c>
      <c r="AD17" s="61" t="s">
        <v>124</v>
      </c>
      <c r="AE17" s="61" t="s">
        <v>137</v>
      </c>
    </row>
    <row r="18" spans="1:31" ht="45" x14ac:dyDescent="0.25">
      <c r="A18" s="11">
        <v>14</v>
      </c>
      <c r="B18" s="7" t="s">
        <v>15</v>
      </c>
      <c r="C18" s="7" t="s">
        <v>108</v>
      </c>
      <c r="D18" s="2" t="s">
        <v>163</v>
      </c>
      <c r="E18" s="7" t="s">
        <v>144</v>
      </c>
      <c r="F18" s="2" t="s">
        <v>98</v>
      </c>
      <c r="G18" s="2" t="s">
        <v>124</v>
      </c>
      <c r="H18" s="1" t="s">
        <v>132</v>
      </c>
      <c r="I18" s="1" t="str">
        <f>TEXT(tblData[[#This Row],[Tanggal Mulai]],"[$-id-ID]mmmm")</f>
        <v>Januari</v>
      </c>
      <c r="J18" s="42">
        <v>46043</v>
      </c>
      <c r="K18" s="42">
        <v>46043</v>
      </c>
      <c r="L18" s="1" t="s">
        <v>136</v>
      </c>
      <c r="M18" s="1" t="s">
        <v>95</v>
      </c>
      <c r="N18" s="1" t="s">
        <v>140</v>
      </c>
      <c r="O18" s="1" t="s">
        <v>163</v>
      </c>
      <c r="P18" s="1" t="s">
        <v>144</v>
      </c>
      <c r="Q18" s="1" t="s">
        <v>98</v>
      </c>
      <c r="R18" s="1" t="s">
        <v>124</v>
      </c>
      <c r="S18" s="1" t="s">
        <v>136</v>
      </c>
      <c r="T18" s="1" t="s">
        <v>140</v>
      </c>
      <c r="U18" s="1" t="s">
        <v>163</v>
      </c>
      <c r="V18" s="1" t="s">
        <v>144</v>
      </c>
      <c r="W18" s="61" t="s">
        <v>98</v>
      </c>
      <c r="X18" s="61" t="s">
        <v>124</v>
      </c>
      <c r="Y18" s="61" t="s">
        <v>136</v>
      </c>
      <c r="Z18" s="61" t="s">
        <v>140</v>
      </c>
      <c r="AA18" s="61" t="s">
        <v>163</v>
      </c>
      <c r="AB18" s="61" t="s">
        <v>144</v>
      </c>
      <c r="AC18" s="61" t="s">
        <v>98</v>
      </c>
      <c r="AD18" s="61" t="s">
        <v>124</v>
      </c>
      <c r="AE18" s="61" t="s">
        <v>136</v>
      </c>
    </row>
    <row r="19" spans="1:31" ht="45" x14ac:dyDescent="0.25">
      <c r="A19" s="11">
        <v>15</v>
      </c>
      <c r="B19" s="2" t="s">
        <v>16</v>
      </c>
      <c r="C19" s="2" t="s">
        <v>113</v>
      </c>
      <c r="D19" s="2" t="s">
        <v>158</v>
      </c>
      <c r="E19" s="2" t="s">
        <v>144</v>
      </c>
      <c r="F19" s="2" t="s">
        <v>98</v>
      </c>
      <c r="G19" s="2" t="s">
        <v>124</v>
      </c>
      <c r="H19" s="1" t="s">
        <v>132</v>
      </c>
      <c r="I19" s="1" t="str">
        <f>TEXT(tblData[[#This Row],[Tanggal Mulai]],"[$-id-ID]mmmm")</f>
        <v>Januari</v>
      </c>
      <c r="J19" s="42">
        <v>46044</v>
      </c>
      <c r="K19" s="42">
        <v>46044</v>
      </c>
      <c r="L19" s="1" t="s">
        <v>136</v>
      </c>
      <c r="M19" s="1" t="s">
        <v>95</v>
      </c>
      <c r="N19" s="1" t="s">
        <v>140</v>
      </c>
      <c r="O19" s="1" t="s">
        <v>158</v>
      </c>
      <c r="P19" s="1" t="s">
        <v>144</v>
      </c>
      <c r="Q19" s="1" t="s">
        <v>98</v>
      </c>
      <c r="R19" s="1" t="s">
        <v>124</v>
      </c>
      <c r="S19" s="1" t="s">
        <v>136</v>
      </c>
      <c r="T19" s="1" t="s">
        <v>140</v>
      </c>
      <c r="U19" s="1" t="s">
        <v>158</v>
      </c>
      <c r="V19" s="1" t="s">
        <v>144</v>
      </c>
      <c r="W19" s="61" t="s">
        <v>98</v>
      </c>
      <c r="X19" s="61" t="s">
        <v>124</v>
      </c>
      <c r="Y19" s="61" t="s">
        <v>136</v>
      </c>
      <c r="Z19" s="61" t="s">
        <v>140</v>
      </c>
      <c r="AA19" s="61" t="s">
        <v>158</v>
      </c>
      <c r="AB19" s="61" t="s">
        <v>144</v>
      </c>
      <c r="AC19" s="61" t="s">
        <v>98</v>
      </c>
      <c r="AD19" s="61" t="s">
        <v>124</v>
      </c>
      <c r="AE19" s="61" t="s">
        <v>136</v>
      </c>
    </row>
    <row r="20" spans="1:31" ht="45" x14ac:dyDescent="0.25">
      <c r="A20" s="11">
        <v>16</v>
      </c>
      <c r="B20" s="7" t="s">
        <v>17</v>
      </c>
      <c r="C20" s="7" t="s">
        <v>114</v>
      </c>
      <c r="D20" s="2" t="s">
        <v>161</v>
      </c>
      <c r="E20" s="7" t="s">
        <v>144</v>
      </c>
      <c r="F20" s="2" t="s">
        <v>98</v>
      </c>
      <c r="G20" s="2" t="s">
        <v>124</v>
      </c>
      <c r="H20" s="1" t="s">
        <v>132</v>
      </c>
      <c r="I20" s="1" t="str">
        <f>TEXT(tblData[[#This Row],[Tanggal Mulai]],"[$-id-ID]mmmm")</f>
        <v>Januari</v>
      </c>
      <c r="J20" s="42">
        <v>46044</v>
      </c>
      <c r="K20" s="42">
        <v>46044</v>
      </c>
      <c r="L20" s="1" t="s">
        <v>136</v>
      </c>
      <c r="M20" s="1" t="s">
        <v>95</v>
      </c>
      <c r="N20" s="1" t="s">
        <v>140</v>
      </c>
      <c r="O20" s="1" t="s">
        <v>161</v>
      </c>
      <c r="P20" s="1" t="s">
        <v>144</v>
      </c>
      <c r="Q20" s="1" t="s">
        <v>98</v>
      </c>
      <c r="R20" s="1" t="s">
        <v>124</v>
      </c>
      <c r="S20" s="1" t="s">
        <v>136</v>
      </c>
      <c r="T20" s="1" t="s">
        <v>140</v>
      </c>
      <c r="U20" s="1" t="s">
        <v>161</v>
      </c>
      <c r="V20" s="1" t="s">
        <v>144</v>
      </c>
      <c r="W20" s="61" t="s">
        <v>98</v>
      </c>
      <c r="X20" s="61" t="s">
        <v>124</v>
      </c>
      <c r="Y20" s="61" t="s">
        <v>136</v>
      </c>
      <c r="Z20" s="61" t="s">
        <v>140</v>
      </c>
      <c r="AA20" s="61" t="s">
        <v>161</v>
      </c>
      <c r="AB20" s="61" t="s">
        <v>144</v>
      </c>
      <c r="AC20" s="61" t="s">
        <v>98</v>
      </c>
      <c r="AD20" s="61" t="s">
        <v>124</v>
      </c>
      <c r="AE20" s="61" t="s">
        <v>136</v>
      </c>
    </row>
    <row r="21" spans="1:31" ht="135" x14ac:dyDescent="0.25">
      <c r="A21" s="11">
        <v>17</v>
      </c>
      <c r="B21" s="2" t="s">
        <v>18</v>
      </c>
      <c r="C21" s="2" t="s">
        <v>18</v>
      </c>
      <c r="D21" s="2" t="s">
        <v>164</v>
      </c>
      <c r="E21" s="2" t="s">
        <v>144</v>
      </c>
      <c r="F21" s="2" t="s">
        <v>98</v>
      </c>
      <c r="G21" s="2" t="s">
        <v>124</v>
      </c>
      <c r="H21" s="1" t="s">
        <v>132</v>
      </c>
      <c r="I21" s="1" t="str">
        <f>TEXT(tblData[[#This Row],[Tanggal Mulai]],"[$-id-ID]mmmm")</f>
        <v>Januari</v>
      </c>
      <c r="J21" s="42">
        <v>46044</v>
      </c>
      <c r="K21" s="42">
        <v>46044</v>
      </c>
      <c r="L21" s="1" t="s">
        <v>136</v>
      </c>
      <c r="M21" s="1" t="s">
        <v>95</v>
      </c>
      <c r="N21" s="1" t="s">
        <v>18</v>
      </c>
      <c r="O21" s="1" t="s">
        <v>164</v>
      </c>
      <c r="P21" s="1" t="s">
        <v>144</v>
      </c>
      <c r="Q21" s="1" t="s">
        <v>98</v>
      </c>
      <c r="R21" s="1" t="s">
        <v>124</v>
      </c>
      <c r="S21" s="1" t="s">
        <v>136</v>
      </c>
      <c r="T21" s="1" t="s">
        <v>18</v>
      </c>
      <c r="U21" s="1" t="s">
        <v>164</v>
      </c>
      <c r="V21" s="1" t="s">
        <v>144</v>
      </c>
      <c r="W21" s="61" t="s">
        <v>98</v>
      </c>
      <c r="X21" s="61" t="s">
        <v>124</v>
      </c>
      <c r="Y21" s="61" t="s">
        <v>136</v>
      </c>
      <c r="Z21" s="61" t="s">
        <v>18</v>
      </c>
      <c r="AA21" s="61" t="s">
        <v>164</v>
      </c>
      <c r="AB21" s="61" t="s">
        <v>144</v>
      </c>
      <c r="AC21" s="61" t="s">
        <v>98</v>
      </c>
      <c r="AD21" s="61" t="s">
        <v>124</v>
      </c>
      <c r="AE21" s="61" t="s">
        <v>136</v>
      </c>
    </row>
    <row r="22" spans="1:31" ht="60" x14ac:dyDescent="0.25">
      <c r="A22" s="11">
        <v>18</v>
      </c>
      <c r="B22" s="7" t="s">
        <v>19</v>
      </c>
      <c r="C22" s="7" t="s">
        <v>19</v>
      </c>
      <c r="D22" s="2" t="s">
        <v>161</v>
      </c>
      <c r="E22" s="7" t="s">
        <v>144</v>
      </c>
      <c r="F22" s="2" t="s">
        <v>102</v>
      </c>
      <c r="G22" s="2" t="s">
        <v>124</v>
      </c>
      <c r="H22" s="1" t="s">
        <v>132</v>
      </c>
      <c r="I22" s="1" t="str">
        <f>TEXT(tblData[[#This Row],[Tanggal Mulai]],"[$-id-ID]mmmm")</f>
        <v>Januari</v>
      </c>
      <c r="J22" s="42">
        <v>46048</v>
      </c>
      <c r="K22" s="42">
        <v>46048</v>
      </c>
      <c r="L22" s="1" t="s">
        <v>137</v>
      </c>
      <c r="M22" s="1" t="s">
        <v>95</v>
      </c>
      <c r="N22" s="1" t="s">
        <v>140</v>
      </c>
      <c r="O22" s="1" t="s">
        <v>161</v>
      </c>
      <c r="P22" s="1" t="s">
        <v>144</v>
      </c>
      <c r="Q22" s="1" t="s">
        <v>102</v>
      </c>
      <c r="R22" s="1" t="s">
        <v>124</v>
      </c>
      <c r="S22" s="1" t="s">
        <v>137</v>
      </c>
      <c r="T22" s="1" t="s">
        <v>140</v>
      </c>
      <c r="U22" s="1" t="s">
        <v>161</v>
      </c>
      <c r="V22" s="1" t="s">
        <v>144</v>
      </c>
      <c r="W22" s="61" t="s">
        <v>102</v>
      </c>
      <c r="X22" s="61" t="s">
        <v>124</v>
      </c>
      <c r="Y22" s="61" t="s">
        <v>137</v>
      </c>
      <c r="Z22" s="61" t="s">
        <v>140</v>
      </c>
      <c r="AA22" s="61" t="s">
        <v>161</v>
      </c>
      <c r="AB22" s="61" t="s">
        <v>144</v>
      </c>
      <c r="AC22" s="61" t="s">
        <v>102</v>
      </c>
      <c r="AD22" s="61" t="s">
        <v>124</v>
      </c>
      <c r="AE22" s="61" t="s">
        <v>137</v>
      </c>
    </row>
    <row r="23" spans="1:31" ht="90" x14ac:dyDescent="0.25">
      <c r="A23" s="11">
        <v>19</v>
      </c>
      <c r="B23" s="7" t="s">
        <v>20</v>
      </c>
      <c r="C23" s="7" t="s">
        <v>20</v>
      </c>
      <c r="D23" s="2" t="s">
        <v>165</v>
      </c>
      <c r="E23" s="7" t="s">
        <v>144</v>
      </c>
      <c r="F23" s="2" t="s">
        <v>98</v>
      </c>
      <c r="G23" s="2" t="s">
        <v>124</v>
      </c>
      <c r="H23" s="1" t="s">
        <v>132</v>
      </c>
      <c r="I23" s="1" t="str">
        <f>TEXT(tblData[[#This Row],[Tanggal Mulai]],"[$-id-ID]mmmm")</f>
        <v>Januari</v>
      </c>
      <c r="J23" s="42">
        <v>46049</v>
      </c>
      <c r="K23" s="42">
        <v>46049</v>
      </c>
      <c r="L23" s="1" t="s">
        <v>137</v>
      </c>
      <c r="M23" s="1" t="s">
        <v>95</v>
      </c>
      <c r="N23" s="1" t="s">
        <v>20</v>
      </c>
      <c r="O23" s="1" t="s">
        <v>165</v>
      </c>
      <c r="P23" s="1" t="s">
        <v>144</v>
      </c>
      <c r="Q23" s="1" t="s">
        <v>98</v>
      </c>
      <c r="R23" s="1" t="s">
        <v>124</v>
      </c>
      <c r="S23" s="1" t="s">
        <v>137</v>
      </c>
      <c r="T23" s="1" t="s">
        <v>20</v>
      </c>
      <c r="U23" s="1" t="s">
        <v>165</v>
      </c>
      <c r="V23" s="1" t="s">
        <v>144</v>
      </c>
      <c r="W23" s="61" t="s">
        <v>98</v>
      </c>
      <c r="X23" s="61" t="s">
        <v>124</v>
      </c>
      <c r="Y23" s="61" t="s">
        <v>137</v>
      </c>
      <c r="Z23" s="61" t="s">
        <v>20</v>
      </c>
      <c r="AA23" s="61" t="s">
        <v>165</v>
      </c>
      <c r="AB23" s="61" t="s">
        <v>144</v>
      </c>
      <c r="AC23" s="61" t="s">
        <v>98</v>
      </c>
      <c r="AD23" s="61" t="s">
        <v>124</v>
      </c>
      <c r="AE23" s="61" t="s">
        <v>137</v>
      </c>
    </row>
    <row r="24" spans="1:31" ht="45" x14ac:dyDescent="0.25">
      <c r="A24" s="11">
        <v>20</v>
      </c>
      <c r="B24" s="7" t="s">
        <v>219</v>
      </c>
      <c r="C24" s="7" t="s">
        <v>116</v>
      </c>
      <c r="D24" s="2" t="s">
        <v>167</v>
      </c>
      <c r="E24" s="7" t="s">
        <v>144</v>
      </c>
      <c r="F24" s="2" t="s">
        <v>98</v>
      </c>
      <c r="G24" s="2" t="s">
        <v>124</v>
      </c>
      <c r="H24" s="1" t="s">
        <v>132</v>
      </c>
      <c r="I24" s="1" t="str">
        <f>TEXT(tblData[[#This Row],[Tanggal Mulai]],"[$-id-ID]mmmm")</f>
        <v>Januari</v>
      </c>
      <c r="J24" s="42">
        <v>46050</v>
      </c>
      <c r="K24" s="42">
        <v>46050</v>
      </c>
      <c r="L24" s="1" t="s">
        <v>136</v>
      </c>
      <c r="M24" s="1" t="s">
        <v>95</v>
      </c>
      <c r="N24" s="1" t="s">
        <v>140</v>
      </c>
      <c r="O24" s="1" t="s">
        <v>167</v>
      </c>
      <c r="P24" s="1" t="s">
        <v>144</v>
      </c>
      <c r="Q24" s="1" t="s">
        <v>98</v>
      </c>
      <c r="R24" s="1" t="s">
        <v>124</v>
      </c>
      <c r="S24" s="1" t="s">
        <v>136</v>
      </c>
      <c r="T24" s="1" t="s">
        <v>140</v>
      </c>
      <c r="U24" s="1" t="s">
        <v>167</v>
      </c>
      <c r="V24" s="1" t="s">
        <v>144</v>
      </c>
      <c r="W24" s="61" t="s">
        <v>98</v>
      </c>
      <c r="X24" s="61" t="s">
        <v>124</v>
      </c>
      <c r="Y24" s="61" t="s">
        <v>136</v>
      </c>
      <c r="Z24" s="61" t="s">
        <v>140</v>
      </c>
      <c r="AA24" s="61" t="s">
        <v>167</v>
      </c>
      <c r="AB24" s="61" t="s">
        <v>144</v>
      </c>
      <c r="AC24" s="61" t="s">
        <v>98</v>
      </c>
      <c r="AD24" s="61" t="s">
        <v>124</v>
      </c>
      <c r="AE24" s="61" t="s">
        <v>136</v>
      </c>
    </row>
    <row r="25" spans="1:31" ht="60" x14ac:dyDescent="0.25">
      <c r="A25" s="11">
        <v>21</v>
      </c>
      <c r="B25" s="7" t="s">
        <v>21</v>
      </c>
      <c r="C25" s="7" t="s">
        <v>140</v>
      </c>
      <c r="D25" s="2" t="s">
        <v>140</v>
      </c>
      <c r="E25" s="7" t="s">
        <v>144</v>
      </c>
      <c r="F25" s="2" t="s">
        <v>98</v>
      </c>
      <c r="G25" s="2" t="s">
        <v>126</v>
      </c>
      <c r="H25" s="1" t="s">
        <v>132</v>
      </c>
      <c r="I25" s="1" t="str">
        <f>TEXT(tblData[[#This Row],[Tanggal Mulai]],"[$-id-ID]mmmm")</f>
        <v>Januari</v>
      </c>
      <c r="J25" s="42">
        <v>46048</v>
      </c>
      <c r="K25" s="42">
        <v>46052</v>
      </c>
      <c r="L25" s="1" t="s">
        <v>137</v>
      </c>
      <c r="M25" s="1" t="s">
        <v>95</v>
      </c>
      <c r="N25" s="1" t="s">
        <v>140</v>
      </c>
      <c r="O25" s="1" t="s">
        <v>140</v>
      </c>
      <c r="P25" s="1" t="s">
        <v>144</v>
      </c>
      <c r="Q25" s="1" t="s">
        <v>98</v>
      </c>
      <c r="R25" s="1" t="s">
        <v>126</v>
      </c>
      <c r="S25" s="1" t="s">
        <v>137</v>
      </c>
      <c r="T25" s="1" t="s">
        <v>140</v>
      </c>
      <c r="U25" s="1" t="s">
        <v>140</v>
      </c>
      <c r="V25" s="1" t="s">
        <v>144</v>
      </c>
      <c r="W25" s="61" t="s">
        <v>98</v>
      </c>
      <c r="X25" s="61" t="s">
        <v>126</v>
      </c>
      <c r="Y25" s="61" t="s">
        <v>137</v>
      </c>
      <c r="Z25" s="61" t="s">
        <v>140</v>
      </c>
      <c r="AA25" s="61" t="s">
        <v>140</v>
      </c>
      <c r="AB25" s="61" t="s">
        <v>144</v>
      </c>
      <c r="AC25" s="61" t="s">
        <v>98</v>
      </c>
      <c r="AD25" s="61" t="s">
        <v>126</v>
      </c>
      <c r="AE25" s="61" t="s">
        <v>137</v>
      </c>
    </row>
    <row r="26" spans="1:31" ht="30" x14ac:dyDescent="0.25">
      <c r="A26" s="11">
        <v>22</v>
      </c>
      <c r="B26" s="8" t="s">
        <v>22</v>
      </c>
      <c r="C26" s="8" t="s">
        <v>140</v>
      </c>
      <c r="D26" s="2"/>
      <c r="E26" s="8" t="s">
        <v>144</v>
      </c>
      <c r="F26" s="2" t="s">
        <v>98</v>
      </c>
      <c r="G26" s="2" t="s">
        <v>126</v>
      </c>
      <c r="H26" s="1" t="s">
        <v>132</v>
      </c>
      <c r="I26" s="1" t="str">
        <f>TEXT(tblData[[#This Row],[Tanggal Mulai]],"[$-id-ID]mmmm")</f>
        <v>Januari</v>
      </c>
      <c r="J26" s="42">
        <v>46051</v>
      </c>
      <c r="K26" s="42">
        <v>46052</v>
      </c>
      <c r="L26" s="1" t="s">
        <v>136</v>
      </c>
      <c r="M26" s="1" t="s">
        <v>95</v>
      </c>
      <c r="N26" s="1" t="s">
        <v>140</v>
      </c>
      <c r="O26" s="1"/>
      <c r="P26" s="1" t="s">
        <v>144</v>
      </c>
      <c r="Q26" s="1" t="s">
        <v>98</v>
      </c>
      <c r="R26" s="1" t="s">
        <v>126</v>
      </c>
      <c r="S26" s="1" t="s">
        <v>136</v>
      </c>
      <c r="T26" s="1" t="s">
        <v>140</v>
      </c>
      <c r="U26" s="1"/>
      <c r="V26" s="1" t="s">
        <v>144</v>
      </c>
      <c r="W26" s="61" t="s">
        <v>98</v>
      </c>
      <c r="X26" s="61" t="s">
        <v>126</v>
      </c>
      <c r="Y26" s="61" t="s">
        <v>136</v>
      </c>
      <c r="Z26" s="61" t="s">
        <v>140</v>
      </c>
      <c r="AA26" s="61"/>
      <c r="AB26" s="61" t="s">
        <v>144</v>
      </c>
      <c r="AC26" s="61" t="s">
        <v>98</v>
      </c>
      <c r="AD26" s="61" t="s">
        <v>126</v>
      </c>
      <c r="AE26" s="61" t="s">
        <v>136</v>
      </c>
    </row>
    <row r="27" spans="1:31" ht="90" x14ac:dyDescent="0.25">
      <c r="A27" s="11">
        <v>23</v>
      </c>
      <c r="B27" s="7" t="s">
        <v>23</v>
      </c>
      <c r="C27" s="2" t="s">
        <v>107</v>
      </c>
      <c r="D27" s="2" t="s">
        <v>157</v>
      </c>
      <c r="E27" s="2" t="s">
        <v>144</v>
      </c>
      <c r="F27" s="2" t="s">
        <v>100</v>
      </c>
      <c r="G27" s="2" t="s">
        <v>127</v>
      </c>
      <c r="H27" s="1" t="s">
        <v>132</v>
      </c>
      <c r="I27" s="1" t="str">
        <f>TEXT(tblData[[#This Row],[Tanggal Mulai]],"[$-id-ID]mmmm")</f>
        <v>Januari</v>
      </c>
      <c r="J27" s="42">
        <v>46052</v>
      </c>
      <c r="K27" s="42">
        <v>46052</v>
      </c>
      <c r="L27" s="1" t="s">
        <v>136</v>
      </c>
      <c r="M27" s="1" t="s">
        <v>95</v>
      </c>
      <c r="N27" s="1" t="s">
        <v>107</v>
      </c>
      <c r="O27" s="1" t="s">
        <v>157</v>
      </c>
      <c r="P27" s="1" t="s">
        <v>144</v>
      </c>
      <c r="Q27" s="1" t="s">
        <v>100</v>
      </c>
      <c r="R27" s="1" t="s">
        <v>127</v>
      </c>
      <c r="S27" s="1" t="s">
        <v>136</v>
      </c>
      <c r="T27" s="1" t="s">
        <v>107</v>
      </c>
      <c r="U27" s="1" t="s">
        <v>157</v>
      </c>
      <c r="V27" s="1" t="s">
        <v>144</v>
      </c>
      <c r="W27" s="61" t="s">
        <v>100</v>
      </c>
      <c r="X27" s="61" t="s">
        <v>127</v>
      </c>
      <c r="Y27" s="61" t="s">
        <v>136</v>
      </c>
      <c r="Z27" s="61" t="s">
        <v>107</v>
      </c>
      <c r="AA27" s="61" t="s">
        <v>157</v>
      </c>
      <c r="AB27" s="61" t="s">
        <v>144</v>
      </c>
      <c r="AC27" s="61" t="s">
        <v>100</v>
      </c>
      <c r="AD27" s="61" t="s">
        <v>127</v>
      </c>
      <c r="AE27" s="61" t="s">
        <v>136</v>
      </c>
    </row>
    <row r="28" spans="1:31" ht="90" x14ac:dyDescent="0.25">
      <c r="A28" s="11">
        <v>24</v>
      </c>
      <c r="B28" s="7" t="s">
        <v>24</v>
      </c>
      <c r="C28" s="2" t="s">
        <v>107</v>
      </c>
      <c r="D28" s="2" t="s">
        <v>157</v>
      </c>
      <c r="E28" s="2" t="s">
        <v>144</v>
      </c>
      <c r="F28" s="2" t="s">
        <v>100</v>
      </c>
      <c r="G28" s="2" t="s">
        <v>125</v>
      </c>
      <c r="H28" s="1" t="s">
        <v>132</v>
      </c>
      <c r="I28" s="1" t="str">
        <f>TEXT(tblData[[#This Row],[Tanggal Mulai]],"[$-id-ID]mmmm")</f>
        <v>Februari</v>
      </c>
      <c r="J28" s="42">
        <v>46056</v>
      </c>
      <c r="K28" s="42">
        <v>46056</v>
      </c>
      <c r="L28" s="1" t="s">
        <v>137</v>
      </c>
      <c r="M28" s="1" t="s">
        <v>95</v>
      </c>
      <c r="N28" s="1" t="s">
        <v>107</v>
      </c>
      <c r="O28" s="1" t="s">
        <v>157</v>
      </c>
      <c r="P28" s="1" t="s">
        <v>144</v>
      </c>
      <c r="Q28" s="1" t="s">
        <v>100</v>
      </c>
      <c r="R28" s="1" t="s">
        <v>125</v>
      </c>
      <c r="S28" s="1" t="s">
        <v>137</v>
      </c>
      <c r="T28" s="1" t="s">
        <v>107</v>
      </c>
      <c r="U28" s="1" t="s">
        <v>157</v>
      </c>
      <c r="V28" s="1" t="s">
        <v>144</v>
      </c>
      <c r="W28" s="61" t="s">
        <v>100</v>
      </c>
      <c r="X28" s="61" t="s">
        <v>125</v>
      </c>
      <c r="Y28" s="61" t="s">
        <v>137</v>
      </c>
      <c r="Z28" s="61" t="s">
        <v>107</v>
      </c>
      <c r="AA28" s="61" t="s">
        <v>157</v>
      </c>
      <c r="AB28" s="61" t="s">
        <v>144</v>
      </c>
      <c r="AC28" s="61" t="s">
        <v>100</v>
      </c>
      <c r="AD28" s="61" t="s">
        <v>125</v>
      </c>
      <c r="AE28" s="61" t="s">
        <v>137</v>
      </c>
    </row>
    <row r="29" spans="1:31" ht="60" x14ac:dyDescent="0.25">
      <c r="A29" s="11">
        <v>25</v>
      </c>
      <c r="B29" s="8" t="s">
        <v>25</v>
      </c>
      <c r="C29" s="8" t="s">
        <v>140</v>
      </c>
      <c r="D29" s="8" t="s">
        <v>140</v>
      </c>
      <c r="E29" s="8"/>
      <c r="F29" s="2"/>
      <c r="G29" s="2" t="s">
        <v>129</v>
      </c>
      <c r="H29" s="1" t="s">
        <v>132</v>
      </c>
      <c r="I29" s="1" t="str">
        <f>TEXT(tblData[[#This Row],[Tanggal Mulai]],"[$-id-ID]mmmm")</f>
        <v>Februari</v>
      </c>
      <c r="J29" s="42">
        <v>46062</v>
      </c>
      <c r="K29" s="42">
        <v>46066</v>
      </c>
      <c r="L29" s="1" t="s">
        <v>136</v>
      </c>
      <c r="M29" s="1" t="s">
        <v>95</v>
      </c>
      <c r="N29" s="1"/>
      <c r="O29" s="1" t="s">
        <v>140</v>
      </c>
      <c r="P29" s="1"/>
      <c r="Q29" s="1"/>
      <c r="R29" s="1" t="s">
        <v>129</v>
      </c>
      <c r="S29" s="1" t="s">
        <v>136</v>
      </c>
      <c r="T29" s="1" t="s">
        <v>140</v>
      </c>
      <c r="U29" s="1" t="s">
        <v>140</v>
      </c>
      <c r="V29" s="1"/>
      <c r="W29" s="61"/>
      <c r="X29" s="61" t="s">
        <v>129</v>
      </c>
      <c r="Y29" s="61" t="s">
        <v>136</v>
      </c>
      <c r="Z29" s="61" t="s">
        <v>140</v>
      </c>
      <c r="AA29" s="61" t="s">
        <v>140</v>
      </c>
      <c r="AB29" s="61"/>
      <c r="AC29" s="61"/>
      <c r="AD29" s="61" t="s">
        <v>129</v>
      </c>
      <c r="AE29" s="61" t="s">
        <v>136</v>
      </c>
    </row>
    <row r="30" spans="1:31" ht="90" x14ac:dyDescent="0.25">
      <c r="A30" s="11">
        <v>26</v>
      </c>
      <c r="B30" s="2" t="s">
        <v>26</v>
      </c>
      <c r="C30" s="2" t="s">
        <v>107</v>
      </c>
      <c r="D30" s="2" t="s">
        <v>157</v>
      </c>
      <c r="E30" s="2" t="s">
        <v>144</v>
      </c>
      <c r="F30" s="2" t="s">
        <v>100</v>
      </c>
      <c r="G30" s="2" t="s">
        <v>126</v>
      </c>
      <c r="H30" s="1" t="s">
        <v>132</v>
      </c>
      <c r="I30" s="1" t="str">
        <f>TEXT(tblData[[#This Row],[Tanggal Mulai]],"[$-id-ID]mmmm")</f>
        <v>Februari</v>
      </c>
      <c r="J30" s="42">
        <v>46062</v>
      </c>
      <c r="K30" s="42">
        <v>46066</v>
      </c>
      <c r="L30" s="1" t="s">
        <v>137</v>
      </c>
      <c r="M30" s="1" t="s">
        <v>95</v>
      </c>
      <c r="N30" s="1" t="s">
        <v>107</v>
      </c>
      <c r="O30" s="1" t="s">
        <v>157</v>
      </c>
      <c r="P30" s="1" t="s">
        <v>144</v>
      </c>
      <c r="Q30" s="1" t="s">
        <v>100</v>
      </c>
      <c r="R30" s="1" t="s">
        <v>126</v>
      </c>
      <c r="S30" s="1" t="s">
        <v>137</v>
      </c>
      <c r="T30" s="1" t="s">
        <v>107</v>
      </c>
      <c r="U30" s="1" t="s">
        <v>157</v>
      </c>
      <c r="V30" s="1" t="s">
        <v>144</v>
      </c>
      <c r="W30" s="61" t="s">
        <v>100</v>
      </c>
      <c r="X30" s="61" t="s">
        <v>126</v>
      </c>
      <c r="Y30" s="61" t="s">
        <v>137</v>
      </c>
      <c r="Z30" s="61" t="s">
        <v>107</v>
      </c>
      <c r="AA30" s="61" t="s">
        <v>157</v>
      </c>
      <c r="AB30" s="61" t="s">
        <v>144</v>
      </c>
      <c r="AC30" s="61" t="s">
        <v>100</v>
      </c>
      <c r="AD30" s="61" t="s">
        <v>126</v>
      </c>
      <c r="AE30" s="61" t="s">
        <v>137</v>
      </c>
    </row>
    <row r="31" spans="1:31" ht="45" x14ac:dyDescent="0.25">
      <c r="A31" s="11">
        <v>27</v>
      </c>
      <c r="B31" s="2" t="s">
        <v>27</v>
      </c>
      <c r="C31" s="2" t="s">
        <v>140</v>
      </c>
      <c r="D31" s="2" t="s">
        <v>140</v>
      </c>
      <c r="E31" s="2" t="s">
        <v>144</v>
      </c>
      <c r="F31" s="2" t="s">
        <v>98</v>
      </c>
      <c r="G31" s="2" t="s">
        <v>128</v>
      </c>
      <c r="H31" s="1" t="s">
        <v>132</v>
      </c>
      <c r="I31" s="1" t="str">
        <f>TEXT(tblData[[#This Row],[Tanggal Mulai]],"[$-id-ID]mmmm")</f>
        <v>Februari</v>
      </c>
      <c r="J31" s="42">
        <v>46062</v>
      </c>
      <c r="K31" s="42">
        <v>46066</v>
      </c>
      <c r="L31" s="1" t="s">
        <v>136</v>
      </c>
      <c r="M31" s="1" t="s">
        <v>95</v>
      </c>
      <c r="N31" s="1"/>
      <c r="O31" s="1" t="s">
        <v>140</v>
      </c>
      <c r="P31" s="1" t="s">
        <v>144</v>
      </c>
      <c r="Q31" s="1" t="s">
        <v>98</v>
      </c>
      <c r="R31" s="1" t="s">
        <v>128</v>
      </c>
      <c r="S31" s="1" t="s">
        <v>136</v>
      </c>
      <c r="T31" s="1"/>
      <c r="U31" s="1" t="s">
        <v>140</v>
      </c>
      <c r="V31" s="1" t="s">
        <v>144</v>
      </c>
      <c r="W31" s="61" t="s">
        <v>98</v>
      </c>
      <c r="X31" s="61" t="s">
        <v>128</v>
      </c>
      <c r="Y31" s="61" t="s">
        <v>136</v>
      </c>
      <c r="Z31" s="61"/>
      <c r="AA31" s="61" t="s">
        <v>140</v>
      </c>
      <c r="AB31" s="61" t="s">
        <v>144</v>
      </c>
      <c r="AC31" s="61" t="s">
        <v>98</v>
      </c>
      <c r="AD31" s="61" t="s">
        <v>128</v>
      </c>
      <c r="AE31" s="61" t="s">
        <v>136</v>
      </c>
    </row>
    <row r="32" spans="1:31" ht="45" x14ac:dyDescent="0.25">
      <c r="A32" s="11">
        <v>28</v>
      </c>
      <c r="B32" s="8" t="s">
        <v>28</v>
      </c>
      <c r="C32" s="8" t="s">
        <v>140</v>
      </c>
      <c r="D32" s="8" t="s">
        <v>140</v>
      </c>
      <c r="E32" s="8" t="s">
        <v>144</v>
      </c>
      <c r="F32" s="2" t="s">
        <v>98</v>
      </c>
      <c r="G32" s="2" t="s">
        <v>128</v>
      </c>
      <c r="H32" s="1" t="s">
        <v>132</v>
      </c>
      <c r="I32" s="1" t="str">
        <f>TEXT(tblData[[#This Row],[Tanggal Mulai]],"[$-id-ID]mmmm")</f>
        <v>Februari</v>
      </c>
      <c r="J32" s="42">
        <v>46062</v>
      </c>
      <c r="K32" s="42">
        <v>46073</v>
      </c>
      <c r="L32" s="1" t="s">
        <v>136</v>
      </c>
      <c r="M32" s="1" t="s">
        <v>95</v>
      </c>
      <c r="N32" s="1"/>
      <c r="O32" s="1"/>
      <c r="P32" s="1" t="s">
        <v>144</v>
      </c>
      <c r="Q32" s="1" t="s">
        <v>98</v>
      </c>
      <c r="R32" s="1" t="s">
        <v>128</v>
      </c>
      <c r="S32" s="1" t="s">
        <v>136</v>
      </c>
      <c r="T32" s="1" t="s">
        <v>140</v>
      </c>
      <c r="U32" s="1" t="s">
        <v>140</v>
      </c>
      <c r="V32" s="1" t="s">
        <v>144</v>
      </c>
      <c r="W32" s="61" t="s">
        <v>98</v>
      </c>
      <c r="X32" s="61" t="s">
        <v>128</v>
      </c>
      <c r="Y32" s="61" t="s">
        <v>136</v>
      </c>
      <c r="Z32" s="61" t="s">
        <v>140</v>
      </c>
      <c r="AA32" s="61" t="s">
        <v>140</v>
      </c>
      <c r="AB32" s="61" t="s">
        <v>144</v>
      </c>
      <c r="AC32" s="61" t="s">
        <v>98</v>
      </c>
      <c r="AD32" s="61" t="s">
        <v>128</v>
      </c>
      <c r="AE32" s="61" t="s">
        <v>136</v>
      </c>
    </row>
    <row r="33" spans="1:31" ht="90" x14ac:dyDescent="0.25">
      <c r="A33" s="11">
        <v>29</v>
      </c>
      <c r="B33" s="2" t="s">
        <v>29</v>
      </c>
      <c r="C33" s="2" t="s">
        <v>107</v>
      </c>
      <c r="D33" s="2" t="s">
        <v>157</v>
      </c>
      <c r="E33" s="2" t="s">
        <v>144</v>
      </c>
      <c r="F33" s="2" t="s">
        <v>100</v>
      </c>
      <c r="G33" s="2" t="s">
        <v>128</v>
      </c>
      <c r="H33" s="1" t="s">
        <v>132</v>
      </c>
      <c r="I33" s="1" t="str">
        <f>TEXT(tblData[[#This Row],[Tanggal Mulai]],"[$-id-ID]mmmm")</f>
        <v>Februari</v>
      </c>
      <c r="J33" s="42">
        <v>46071</v>
      </c>
      <c r="K33" s="42">
        <v>46073</v>
      </c>
      <c r="L33" s="1" t="s">
        <v>136</v>
      </c>
      <c r="M33" s="1" t="s">
        <v>95</v>
      </c>
      <c r="N33" s="1" t="s">
        <v>107</v>
      </c>
      <c r="O33" s="1" t="s">
        <v>157</v>
      </c>
      <c r="P33" s="1" t="s">
        <v>144</v>
      </c>
      <c r="Q33" s="1" t="s">
        <v>100</v>
      </c>
      <c r="R33" s="1" t="s">
        <v>128</v>
      </c>
      <c r="S33" s="1" t="s">
        <v>136</v>
      </c>
      <c r="T33" s="1" t="s">
        <v>107</v>
      </c>
      <c r="U33" s="1" t="s">
        <v>157</v>
      </c>
      <c r="V33" s="1" t="s">
        <v>144</v>
      </c>
      <c r="W33" s="61" t="s">
        <v>100</v>
      </c>
      <c r="X33" s="61" t="s">
        <v>128</v>
      </c>
      <c r="Y33" s="61" t="s">
        <v>136</v>
      </c>
      <c r="Z33" s="61" t="s">
        <v>107</v>
      </c>
      <c r="AA33" s="61" t="s">
        <v>157</v>
      </c>
      <c r="AB33" s="61" t="s">
        <v>144</v>
      </c>
      <c r="AC33" s="61" t="s">
        <v>100</v>
      </c>
      <c r="AD33" s="61" t="s">
        <v>128</v>
      </c>
      <c r="AE33" s="61" t="s">
        <v>136</v>
      </c>
    </row>
    <row r="34" spans="1:31" s="23" customFormat="1" x14ac:dyDescent="0.25">
      <c r="A34" s="19">
        <v>30</v>
      </c>
      <c r="B34" s="20" t="s">
        <v>30</v>
      </c>
      <c r="C34" s="20"/>
      <c r="D34" s="20"/>
      <c r="E34" s="20"/>
      <c r="F34" s="21"/>
      <c r="G34" s="21"/>
      <c r="H34" s="21"/>
      <c r="I34" s="21"/>
      <c r="J34" s="44"/>
      <c r="K34" s="44"/>
      <c r="L34" s="22"/>
      <c r="M34" s="22"/>
      <c r="N34" s="22"/>
      <c r="O34" s="22"/>
      <c r="P34" s="22"/>
      <c r="Q34" s="22"/>
      <c r="R34" s="22"/>
      <c r="S34" s="22"/>
      <c r="T34" s="22"/>
      <c r="U34" s="22"/>
      <c r="V34" s="22"/>
      <c r="W34" s="66"/>
      <c r="X34" s="66"/>
      <c r="Y34" s="66"/>
      <c r="Z34" s="66"/>
      <c r="AA34" s="66"/>
      <c r="AB34" s="66"/>
      <c r="AC34" s="66"/>
      <c r="AD34" s="66"/>
      <c r="AE34" s="66"/>
    </row>
    <row r="35" spans="1:31" x14ac:dyDescent="0.25">
      <c r="A35" s="19">
        <v>31</v>
      </c>
      <c r="B35" s="4" t="s">
        <v>31</v>
      </c>
      <c r="C35" s="4"/>
      <c r="D35" s="4"/>
      <c r="E35" s="4"/>
      <c r="F35" s="5"/>
      <c r="G35" s="5"/>
      <c r="H35" s="5"/>
      <c r="I35" s="5"/>
      <c r="J35" s="43"/>
      <c r="K35" s="43"/>
      <c r="L35" s="6"/>
      <c r="M35" s="6"/>
      <c r="N35" s="6"/>
      <c r="O35" s="6"/>
      <c r="P35" s="6"/>
      <c r="Q35" s="6"/>
      <c r="R35" s="6"/>
      <c r="S35" s="6"/>
      <c r="T35" s="6"/>
      <c r="U35" s="6"/>
      <c r="V35" s="6"/>
      <c r="W35" s="61"/>
      <c r="X35" s="61"/>
      <c r="Y35" s="61"/>
      <c r="Z35" s="61"/>
      <c r="AA35" s="61"/>
      <c r="AB35" s="61"/>
      <c r="AC35" s="61"/>
      <c r="AD35" s="61"/>
      <c r="AE35" s="61"/>
    </row>
    <row r="36" spans="1:31" ht="60" x14ac:dyDescent="0.25">
      <c r="A36" s="11">
        <v>32</v>
      </c>
      <c r="B36" s="7" t="s">
        <v>32</v>
      </c>
      <c r="C36" s="7" t="s">
        <v>19</v>
      </c>
      <c r="D36" s="2" t="s">
        <v>161</v>
      </c>
      <c r="E36" s="7" t="s">
        <v>144</v>
      </c>
      <c r="F36" s="2" t="s">
        <v>102</v>
      </c>
      <c r="G36" s="2" t="s">
        <v>124</v>
      </c>
      <c r="H36" s="1" t="s">
        <v>132</v>
      </c>
      <c r="I36" s="1" t="str">
        <f>TEXT(tblData[[#This Row],[Tanggal Mulai]],"[$-id-ID]mmmm")</f>
        <v>Februari</v>
      </c>
      <c r="J36" s="42">
        <v>46076</v>
      </c>
      <c r="K36" s="42">
        <v>46080</v>
      </c>
      <c r="L36" s="1" t="s">
        <v>137</v>
      </c>
      <c r="M36" s="1" t="s">
        <v>95</v>
      </c>
      <c r="N36" s="1" t="s">
        <v>140</v>
      </c>
      <c r="O36" s="1" t="s">
        <v>161</v>
      </c>
      <c r="P36" s="1" t="s">
        <v>144</v>
      </c>
      <c r="Q36" s="1" t="s">
        <v>102</v>
      </c>
      <c r="R36" s="1" t="s">
        <v>124</v>
      </c>
      <c r="S36" s="1" t="s">
        <v>137</v>
      </c>
      <c r="T36" s="1" t="s">
        <v>140</v>
      </c>
      <c r="U36" s="1" t="s">
        <v>161</v>
      </c>
      <c r="V36" s="1" t="s">
        <v>144</v>
      </c>
      <c r="W36" s="61" t="s">
        <v>102</v>
      </c>
      <c r="X36" s="61" t="s">
        <v>124</v>
      </c>
      <c r="Y36" s="61" t="s">
        <v>137</v>
      </c>
      <c r="Z36" s="61" t="s">
        <v>140</v>
      </c>
      <c r="AA36" s="61" t="s">
        <v>161</v>
      </c>
      <c r="AB36" s="61" t="s">
        <v>144</v>
      </c>
      <c r="AC36" s="61" t="s">
        <v>102</v>
      </c>
      <c r="AD36" s="61" t="s">
        <v>124</v>
      </c>
      <c r="AE36" s="61" t="s">
        <v>137</v>
      </c>
    </row>
    <row r="37" spans="1:31" ht="60" x14ac:dyDescent="0.25">
      <c r="A37" s="11">
        <v>33</v>
      </c>
      <c r="B37" s="7" t="s">
        <v>33</v>
      </c>
      <c r="C37" s="7" t="s">
        <v>115</v>
      </c>
      <c r="D37" s="2" t="s">
        <v>161</v>
      </c>
      <c r="E37" s="7" t="s">
        <v>144</v>
      </c>
      <c r="F37" s="2" t="s">
        <v>98</v>
      </c>
      <c r="G37" s="2" t="s">
        <v>124</v>
      </c>
      <c r="H37" s="1" t="s">
        <v>132</v>
      </c>
      <c r="I37" s="1" t="str">
        <f>TEXT(tblData[[#This Row],[Tanggal Mulai]],"[$-id-ID]mmmm")</f>
        <v>Februari</v>
      </c>
      <c r="J37" s="42">
        <v>46076</v>
      </c>
      <c r="K37" s="42">
        <v>46080</v>
      </c>
      <c r="L37" s="1" t="s">
        <v>137</v>
      </c>
      <c r="M37" s="1" t="s">
        <v>95</v>
      </c>
      <c r="N37" s="1" t="s">
        <v>140</v>
      </c>
      <c r="O37" s="1" t="s">
        <v>161</v>
      </c>
      <c r="P37" s="1" t="s">
        <v>144</v>
      </c>
      <c r="Q37" s="1" t="s">
        <v>98</v>
      </c>
      <c r="R37" s="1" t="s">
        <v>124</v>
      </c>
      <c r="S37" s="1" t="s">
        <v>137</v>
      </c>
      <c r="T37" s="1" t="s">
        <v>140</v>
      </c>
      <c r="U37" s="1" t="s">
        <v>161</v>
      </c>
      <c r="V37" s="1" t="s">
        <v>144</v>
      </c>
      <c r="W37" s="61" t="s">
        <v>98</v>
      </c>
      <c r="X37" s="61" t="s">
        <v>124</v>
      </c>
      <c r="Y37" s="61" t="s">
        <v>137</v>
      </c>
      <c r="Z37" s="61" t="s">
        <v>140</v>
      </c>
      <c r="AA37" s="61" t="s">
        <v>161</v>
      </c>
      <c r="AB37" s="61" t="s">
        <v>144</v>
      </c>
      <c r="AC37" s="61" t="s">
        <v>98</v>
      </c>
      <c r="AD37" s="61" t="s">
        <v>124</v>
      </c>
      <c r="AE37" s="61" t="s">
        <v>137</v>
      </c>
    </row>
    <row r="38" spans="1:31" ht="60" x14ac:dyDescent="0.25">
      <c r="A38" s="11">
        <v>34</v>
      </c>
      <c r="B38" s="8" t="s">
        <v>34</v>
      </c>
      <c r="C38" s="7" t="s">
        <v>19</v>
      </c>
      <c r="D38" s="2" t="s">
        <v>161</v>
      </c>
      <c r="E38" s="7" t="s">
        <v>144</v>
      </c>
      <c r="F38" s="2" t="s">
        <v>102</v>
      </c>
      <c r="G38" s="2" t="s">
        <v>127</v>
      </c>
      <c r="H38" s="1" t="s">
        <v>132</v>
      </c>
      <c r="I38" s="1" t="str">
        <f>TEXT(tblData[[#This Row],[Tanggal Mulai]],"[$-id-ID]mmmm")</f>
        <v>Maret</v>
      </c>
      <c r="J38" s="45">
        <v>46083</v>
      </c>
      <c r="K38" s="45">
        <v>46087</v>
      </c>
      <c r="L38" s="1" t="s">
        <v>137</v>
      </c>
      <c r="M38" s="1" t="s">
        <v>95</v>
      </c>
      <c r="N38" s="1" t="s">
        <v>140</v>
      </c>
      <c r="O38" s="1" t="s">
        <v>161</v>
      </c>
      <c r="P38" s="1" t="s">
        <v>144</v>
      </c>
      <c r="Q38" s="1" t="s">
        <v>102</v>
      </c>
      <c r="R38" s="1" t="s">
        <v>127</v>
      </c>
      <c r="S38" s="1" t="s">
        <v>137</v>
      </c>
      <c r="T38" s="1" t="s">
        <v>140</v>
      </c>
      <c r="U38" s="1" t="s">
        <v>161</v>
      </c>
      <c r="V38" s="1" t="s">
        <v>144</v>
      </c>
      <c r="W38" s="61" t="s">
        <v>102</v>
      </c>
      <c r="X38" s="61" t="s">
        <v>127</v>
      </c>
      <c r="Y38" s="61" t="s">
        <v>137</v>
      </c>
      <c r="Z38" s="61" t="s">
        <v>140</v>
      </c>
      <c r="AA38" s="61" t="s">
        <v>161</v>
      </c>
      <c r="AB38" s="61" t="s">
        <v>144</v>
      </c>
      <c r="AC38" s="61" t="s">
        <v>102</v>
      </c>
      <c r="AD38" s="61" t="s">
        <v>127</v>
      </c>
      <c r="AE38" s="61" t="s">
        <v>137</v>
      </c>
    </row>
    <row r="39" spans="1:31" ht="45" x14ac:dyDescent="0.25">
      <c r="A39" s="11">
        <v>35</v>
      </c>
      <c r="B39" s="7" t="s">
        <v>35</v>
      </c>
      <c r="C39" s="7" t="s">
        <v>108</v>
      </c>
      <c r="D39" s="2" t="s">
        <v>163</v>
      </c>
      <c r="E39" s="7"/>
      <c r="F39" s="2" t="s">
        <v>98</v>
      </c>
      <c r="G39" s="2" t="s">
        <v>124</v>
      </c>
      <c r="H39" s="1" t="s">
        <v>132</v>
      </c>
      <c r="I39" s="1" t="str">
        <f>TEXT(tblData[[#This Row],[Tanggal Mulai]],"[$-id-ID]mmmm")</f>
        <v>Maret</v>
      </c>
      <c r="J39" s="42">
        <v>46083</v>
      </c>
      <c r="K39" s="42">
        <v>46087</v>
      </c>
      <c r="L39" s="1" t="s">
        <v>136</v>
      </c>
      <c r="M39" s="1" t="s">
        <v>95</v>
      </c>
      <c r="N39" s="1" t="s">
        <v>140</v>
      </c>
      <c r="O39" s="1" t="s">
        <v>163</v>
      </c>
      <c r="P39" s="1"/>
      <c r="Q39" s="1" t="s">
        <v>98</v>
      </c>
      <c r="R39" s="1" t="s">
        <v>124</v>
      </c>
      <c r="S39" s="1" t="s">
        <v>136</v>
      </c>
      <c r="T39" s="1" t="s">
        <v>140</v>
      </c>
      <c r="U39" s="1" t="s">
        <v>163</v>
      </c>
      <c r="V39" s="1"/>
      <c r="W39" s="61" t="s">
        <v>98</v>
      </c>
      <c r="X39" s="61" t="s">
        <v>124</v>
      </c>
      <c r="Y39" s="61" t="s">
        <v>136</v>
      </c>
      <c r="Z39" s="61" t="s">
        <v>140</v>
      </c>
      <c r="AA39" s="61" t="s">
        <v>163</v>
      </c>
      <c r="AB39" s="61"/>
      <c r="AC39" s="61" t="s">
        <v>98</v>
      </c>
      <c r="AD39" s="61" t="s">
        <v>124</v>
      </c>
      <c r="AE39" s="61" t="s">
        <v>136</v>
      </c>
    </row>
    <row r="40" spans="1:31" s="33" customFormat="1" ht="45" x14ac:dyDescent="0.25">
      <c r="A40" s="32">
        <v>36</v>
      </c>
      <c r="B40" s="8" t="s">
        <v>36</v>
      </c>
      <c r="C40" s="8" t="s">
        <v>106</v>
      </c>
      <c r="D40" s="8" t="s">
        <v>157</v>
      </c>
      <c r="E40" s="8" t="s">
        <v>144</v>
      </c>
      <c r="F40" s="8" t="s">
        <v>98</v>
      </c>
      <c r="G40" s="8" t="s">
        <v>127</v>
      </c>
      <c r="H40" s="3" t="s">
        <v>132</v>
      </c>
      <c r="I40" s="3" t="str">
        <f>TEXT(tblData[[#This Row],[Tanggal Mulai]],"[$-id-ID]mmmm")</f>
        <v>Maret</v>
      </c>
      <c r="J40" s="45">
        <v>46090</v>
      </c>
      <c r="K40" s="45">
        <v>46094</v>
      </c>
      <c r="L40" s="3" t="s">
        <v>136</v>
      </c>
      <c r="M40" s="3" t="s">
        <v>95</v>
      </c>
      <c r="N40" s="1" t="s">
        <v>140</v>
      </c>
      <c r="O40" s="1" t="s">
        <v>157</v>
      </c>
      <c r="P40" s="1" t="s">
        <v>144</v>
      </c>
      <c r="Q40" s="1" t="s">
        <v>98</v>
      </c>
      <c r="R40" s="1" t="s">
        <v>127</v>
      </c>
      <c r="S40" s="1" t="s">
        <v>136</v>
      </c>
      <c r="T40" s="1" t="s">
        <v>140</v>
      </c>
      <c r="U40" s="1" t="s">
        <v>157</v>
      </c>
      <c r="V40" s="1" t="s">
        <v>144</v>
      </c>
      <c r="W40" s="61" t="s">
        <v>98</v>
      </c>
      <c r="X40" s="61" t="s">
        <v>127</v>
      </c>
      <c r="Y40" s="61" t="s">
        <v>136</v>
      </c>
      <c r="Z40" s="61" t="s">
        <v>140</v>
      </c>
      <c r="AA40" s="61" t="s">
        <v>157</v>
      </c>
      <c r="AB40" s="61" t="s">
        <v>144</v>
      </c>
      <c r="AC40" s="61" t="s">
        <v>98</v>
      </c>
      <c r="AD40" s="61" t="s">
        <v>127</v>
      </c>
      <c r="AE40" s="61" t="s">
        <v>136</v>
      </c>
    </row>
    <row r="41" spans="1:31" x14ac:dyDescent="0.25">
      <c r="A41" s="11">
        <v>37</v>
      </c>
      <c r="B41" s="4" t="s">
        <v>37</v>
      </c>
      <c r="C41" s="4"/>
      <c r="D41" s="2"/>
      <c r="E41" s="4"/>
      <c r="F41" s="5"/>
      <c r="G41" s="5"/>
      <c r="H41" s="5"/>
      <c r="I41" s="5"/>
      <c r="J41" s="43"/>
      <c r="K41" s="43"/>
      <c r="L41" s="6"/>
      <c r="M41" s="6"/>
      <c r="N41" s="6"/>
      <c r="O41" s="6"/>
      <c r="P41" s="6"/>
      <c r="Q41" s="6"/>
      <c r="R41" s="6"/>
      <c r="S41" s="6"/>
      <c r="T41" s="6"/>
      <c r="U41" s="6"/>
      <c r="V41" s="6"/>
      <c r="W41" s="61"/>
      <c r="X41" s="61"/>
      <c r="Y41" s="61"/>
      <c r="Z41" s="61"/>
      <c r="AA41" s="61"/>
      <c r="AB41" s="61"/>
      <c r="AC41" s="61"/>
      <c r="AD41" s="61"/>
      <c r="AE41" s="61"/>
    </row>
    <row r="42" spans="1:31" ht="45" x14ac:dyDescent="0.25">
      <c r="A42" s="11">
        <v>38</v>
      </c>
      <c r="B42" s="7" t="s">
        <v>220</v>
      </c>
      <c r="C42" s="7" t="s">
        <v>221</v>
      </c>
      <c r="D42" s="2" t="s">
        <v>167</v>
      </c>
      <c r="E42" s="7" t="s">
        <v>144</v>
      </c>
      <c r="F42" s="2" t="s">
        <v>98</v>
      </c>
      <c r="G42" s="2" t="s">
        <v>124</v>
      </c>
      <c r="H42" s="1" t="s">
        <v>133</v>
      </c>
      <c r="I42" s="1" t="str">
        <f>TEXT(tblData[[#This Row],[Tanggal Mulai]],"[$-id-ID]mmmm")</f>
        <v>April</v>
      </c>
      <c r="J42" s="42">
        <v>46125</v>
      </c>
      <c r="K42" s="42">
        <v>46129</v>
      </c>
      <c r="L42" s="1" t="s">
        <v>136</v>
      </c>
      <c r="M42" s="1" t="s">
        <v>95</v>
      </c>
      <c r="N42" s="1" t="s">
        <v>140</v>
      </c>
      <c r="O42" s="1" t="s">
        <v>167</v>
      </c>
      <c r="P42" s="1" t="s">
        <v>144</v>
      </c>
      <c r="Q42" s="1" t="s">
        <v>98</v>
      </c>
      <c r="R42" s="1" t="s">
        <v>124</v>
      </c>
      <c r="S42" s="1" t="s">
        <v>136</v>
      </c>
      <c r="T42" s="1" t="s">
        <v>140</v>
      </c>
      <c r="U42" s="1" t="s">
        <v>167</v>
      </c>
      <c r="V42" s="1" t="s">
        <v>144</v>
      </c>
      <c r="W42" s="61" t="s">
        <v>98</v>
      </c>
      <c r="X42" s="61" t="s">
        <v>124</v>
      </c>
      <c r="Y42" s="61" t="s">
        <v>136</v>
      </c>
      <c r="Z42" s="61" t="s">
        <v>140</v>
      </c>
      <c r="AA42" s="61" t="s">
        <v>167</v>
      </c>
      <c r="AB42" s="61" t="s">
        <v>144</v>
      </c>
      <c r="AC42" s="61" t="s">
        <v>98</v>
      </c>
      <c r="AD42" s="61" t="s">
        <v>124</v>
      </c>
      <c r="AE42" s="61" t="s">
        <v>136</v>
      </c>
    </row>
    <row r="43" spans="1:31" ht="60" x14ac:dyDescent="0.25">
      <c r="A43" s="11">
        <v>39</v>
      </c>
      <c r="B43" s="7" t="s">
        <v>38</v>
      </c>
      <c r="C43" s="7" t="s">
        <v>109</v>
      </c>
      <c r="D43" s="2" t="s">
        <v>159</v>
      </c>
      <c r="E43" s="7" t="s">
        <v>144</v>
      </c>
      <c r="F43" s="2" t="s">
        <v>98</v>
      </c>
      <c r="G43" s="2" t="s">
        <v>124</v>
      </c>
      <c r="H43" s="1" t="s">
        <v>133</v>
      </c>
      <c r="I43" s="1" t="str">
        <f>TEXT(tblData[[#This Row],[Tanggal Mulai]],"[$-id-ID]mmmm")</f>
        <v>April</v>
      </c>
      <c r="J43" s="42">
        <v>46125</v>
      </c>
      <c r="K43" s="42">
        <v>46129</v>
      </c>
      <c r="L43" s="1" t="s">
        <v>137</v>
      </c>
      <c r="M43" s="1" t="s">
        <v>95</v>
      </c>
      <c r="N43" s="1" t="s">
        <v>140</v>
      </c>
      <c r="O43" s="1" t="s">
        <v>159</v>
      </c>
      <c r="P43" s="1" t="s">
        <v>144</v>
      </c>
      <c r="Q43" s="1" t="s">
        <v>98</v>
      </c>
      <c r="R43" s="1" t="s">
        <v>124</v>
      </c>
      <c r="S43" s="1" t="s">
        <v>137</v>
      </c>
      <c r="T43" s="1" t="s">
        <v>140</v>
      </c>
      <c r="U43" s="1" t="s">
        <v>159</v>
      </c>
      <c r="V43" s="1" t="s">
        <v>144</v>
      </c>
      <c r="W43" s="61" t="s">
        <v>98</v>
      </c>
      <c r="X43" s="61" t="s">
        <v>124</v>
      </c>
      <c r="Y43" s="61" t="s">
        <v>137</v>
      </c>
      <c r="Z43" s="61" t="s">
        <v>140</v>
      </c>
      <c r="AA43" s="61" t="s">
        <v>159</v>
      </c>
      <c r="AB43" s="61" t="s">
        <v>144</v>
      </c>
      <c r="AC43" s="61" t="s">
        <v>98</v>
      </c>
      <c r="AD43" s="61" t="s">
        <v>124</v>
      </c>
      <c r="AE43" s="61" t="s">
        <v>137</v>
      </c>
    </row>
    <row r="44" spans="1:31" ht="45" x14ac:dyDescent="0.25">
      <c r="A44" s="11">
        <v>40</v>
      </c>
      <c r="B44" s="8" t="s">
        <v>39</v>
      </c>
      <c r="C44" s="8" t="s">
        <v>221</v>
      </c>
      <c r="D44" s="2" t="s">
        <v>167</v>
      </c>
      <c r="E44" s="8" t="s">
        <v>144</v>
      </c>
      <c r="F44" s="2" t="s">
        <v>98</v>
      </c>
      <c r="G44" s="2" t="s">
        <v>127</v>
      </c>
      <c r="H44" s="1" t="s">
        <v>133</v>
      </c>
      <c r="I44" s="1" t="str">
        <f>TEXT(tblData[[#This Row],[Tanggal Mulai]],"[$-id-ID]mmmm")</f>
        <v>April</v>
      </c>
      <c r="J44" s="42">
        <v>46132</v>
      </c>
      <c r="K44" s="42">
        <v>46136</v>
      </c>
      <c r="L44" s="1" t="s">
        <v>136</v>
      </c>
      <c r="M44" s="1" t="s">
        <v>95</v>
      </c>
      <c r="N44" s="1" t="s">
        <v>140</v>
      </c>
      <c r="O44" s="1" t="s">
        <v>167</v>
      </c>
      <c r="P44" s="1" t="s">
        <v>144</v>
      </c>
      <c r="Q44" s="1" t="s">
        <v>98</v>
      </c>
      <c r="R44" s="1" t="s">
        <v>127</v>
      </c>
      <c r="S44" s="1" t="s">
        <v>136</v>
      </c>
      <c r="T44" s="1" t="s">
        <v>140</v>
      </c>
      <c r="U44" s="1" t="s">
        <v>167</v>
      </c>
      <c r="V44" s="1" t="s">
        <v>144</v>
      </c>
      <c r="W44" s="61" t="s">
        <v>98</v>
      </c>
      <c r="X44" s="61" t="s">
        <v>127</v>
      </c>
      <c r="Y44" s="61" t="s">
        <v>136</v>
      </c>
      <c r="Z44" s="61" t="s">
        <v>140</v>
      </c>
      <c r="AA44" s="61" t="s">
        <v>167</v>
      </c>
      <c r="AB44" s="61" t="s">
        <v>144</v>
      </c>
      <c r="AC44" s="61" t="s">
        <v>98</v>
      </c>
      <c r="AD44" s="61" t="s">
        <v>127</v>
      </c>
      <c r="AE44" s="61" t="s">
        <v>136</v>
      </c>
    </row>
    <row r="45" spans="1:31" ht="45" x14ac:dyDescent="0.25">
      <c r="A45" s="11">
        <v>41</v>
      </c>
      <c r="B45" s="7" t="s">
        <v>40</v>
      </c>
      <c r="C45" s="7" t="s">
        <v>140</v>
      </c>
      <c r="D45" s="2" t="s">
        <v>140</v>
      </c>
      <c r="E45" s="7" t="s">
        <v>146</v>
      </c>
      <c r="F45" s="2" t="s">
        <v>170</v>
      </c>
      <c r="G45" s="2" t="s">
        <v>124</v>
      </c>
      <c r="H45" s="1" t="s">
        <v>133</v>
      </c>
      <c r="I45" s="1" t="str">
        <f>TEXT(tblData[[#This Row],[Tanggal Mulai]],"[$-id-ID]mmmm")</f>
        <v>April</v>
      </c>
      <c r="J45" s="42">
        <v>46132</v>
      </c>
      <c r="K45" s="42">
        <v>46136</v>
      </c>
      <c r="L45" s="1" t="s">
        <v>136</v>
      </c>
      <c r="M45" s="1" t="s">
        <v>95</v>
      </c>
      <c r="N45" s="1" t="s">
        <v>140</v>
      </c>
      <c r="O45" s="1" t="s">
        <v>140</v>
      </c>
      <c r="P45" s="1" t="s">
        <v>146</v>
      </c>
      <c r="Q45" s="1" t="s">
        <v>170</v>
      </c>
      <c r="R45" s="1" t="s">
        <v>124</v>
      </c>
      <c r="S45" s="1" t="s">
        <v>136</v>
      </c>
      <c r="T45" s="1" t="s">
        <v>140</v>
      </c>
      <c r="U45" s="1" t="s">
        <v>140</v>
      </c>
      <c r="V45" s="1" t="s">
        <v>146</v>
      </c>
      <c r="W45" s="61" t="s">
        <v>170</v>
      </c>
      <c r="X45" s="61" t="s">
        <v>124</v>
      </c>
      <c r="Y45" s="61" t="s">
        <v>136</v>
      </c>
      <c r="Z45" s="61" t="s">
        <v>140</v>
      </c>
      <c r="AA45" s="61" t="s">
        <v>140</v>
      </c>
      <c r="AB45" s="61" t="s">
        <v>146</v>
      </c>
      <c r="AC45" s="61" t="s">
        <v>170</v>
      </c>
      <c r="AD45" s="61" t="s">
        <v>124</v>
      </c>
      <c r="AE45" s="61" t="s">
        <v>136</v>
      </c>
    </row>
    <row r="46" spans="1:31" ht="45" x14ac:dyDescent="0.25">
      <c r="A46" s="11">
        <v>42</v>
      </c>
      <c r="B46" s="8" t="s">
        <v>41</v>
      </c>
      <c r="C46" s="8" t="s">
        <v>140</v>
      </c>
      <c r="D46" s="2"/>
      <c r="E46" s="8" t="s">
        <v>146</v>
      </c>
      <c r="F46" s="2" t="s">
        <v>170</v>
      </c>
      <c r="G46" s="2" t="s">
        <v>127</v>
      </c>
      <c r="H46" s="1" t="s">
        <v>133</v>
      </c>
      <c r="I46" s="1" t="str">
        <f>TEXT(tblData[[#This Row],[Tanggal Mulai]],"[$-id-ID]mmmm")</f>
        <v>April</v>
      </c>
      <c r="J46" s="42">
        <v>46132</v>
      </c>
      <c r="K46" s="42">
        <v>46140</v>
      </c>
      <c r="L46" s="1" t="s">
        <v>136</v>
      </c>
      <c r="M46" s="1" t="s">
        <v>95</v>
      </c>
      <c r="N46" s="1" t="s">
        <v>140</v>
      </c>
      <c r="O46" s="1"/>
      <c r="P46" s="1" t="s">
        <v>146</v>
      </c>
      <c r="Q46" s="1" t="s">
        <v>170</v>
      </c>
      <c r="R46" s="1" t="s">
        <v>127</v>
      </c>
      <c r="S46" s="1" t="s">
        <v>136</v>
      </c>
      <c r="T46" s="1" t="s">
        <v>140</v>
      </c>
      <c r="U46" s="1"/>
      <c r="V46" s="1" t="s">
        <v>146</v>
      </c>
      <c r="W46" s="61" t="s">
        <v>170</v>
      </c>
      <c r="X46" s="61" t="s">
        <v>127</v>
      </c>
      <c r="Y46" s="61" t="s">
        <v>136</v>
      </c>
      <c r="Z46" s="61" t="s">
        <v>140</v>
      </c>
      <c r="AA46" s="61"/>
      <c r="AB46" s="61" t="s">
        <v>146</v>
      </c>
      <c r="AC46" s="61" t="s">
        <v>170</v>
      </c>
      <c r="AD46" s="61" t="s">
        <v>127</v>
      </c>
      <c r="AE46" s="61" t="s">
        <v>136</v>
      </c>
    </row>
    <row r="47" spans="1:31" ht="60" x14ac:dyDescent="0.25">
      <c r="A47" s="11">
        <v>43</v>
      </c>
      <c r="B47" s="7" t="s">
        <v>222</v>
      </c>
      <c r="C47" s="2" t="s">
        <v>148</v>
      </c>
      <c r="D47" s="2" t="s">
        <v>157</v>
      </c>
      <c r="E47" s="2" t="s">
        <v>147</v>
      </c>
      <c r="F47" s="2" t="s">
        <v>101</v>
      </c>
      <c r="G47" s="2" t="s">
        <v>124</v>
      </c>
      <c r="H47" s="1" t="s">
        <v>133</v>
      </c>
      <c r="I47" s="1" t="str">
        <f>TEXT(tblData[[#This Row],[Tanggal Mulai]],"[$-id-ID]mmmm")</f>
        <v>April</v>
      </c>
      <c r="J47" s="42">
        <v>46132</v>
      </c>
      <c r="K47" s="42">
        <v>46140</v>
      </c>
      <c r="L47" s="1" t="s">
        <v>137</v>
      </c>
      <c r="M47" s="1" t="s">
        <v>95</v>
      </c>
      <c r="N47" s="1" t="s">
        <v>140</v>
      </c>
      <c r="O47" s="1" t="s">
        <v>157</v>
      </c>
      <c r="P47" s="1" t="s">
        <v>147</v>
      </c>
      <c r="Q47" s="1" t="s">
        <v>101</v>
      </c>
      <c r="R47" s="1" t="s">
        <v>124</v>
      </c>
      <c r="S47" s="1" t="s">
        <v>137</v>
      </c>
      <c r="T47" s="1" t="s">
        <v>140</v>
      </c>
      <c r="U47" s="1" t="s">
        <v>157</v>
      </c>
      <c r="V47" s="1" t="s">
        <v>147</v>
      </c>
      <c r="W47" s="61" t="s">
        <v>101</v>
      </c>
      <c r="X47" s="61" t="s">
        <v>124</v>
      </c>
      <c r="Y47" s="61" t="s">
        <v>137</v>
      </c>
      <c r="Z47" s="61" t="s">
        <v>140</v>
      </c>
      <c r="AA47" s="61" t="s">
        <v>157</v>
      </c>
      <c r="AB47" s="61" t="s">
        <v>147</v>
      </c>
      <c r="AC47" s="61" t="s">
        <v>101</v>
      </c>
      <c r="AD47" s="61" t="s">
        <v>124</v>
      </c>
      <c r="AE47" s="61" t="s">
        <v>137</v>
      </c>
    </row>
    <row r="48" spans="1:31" ht="90" x14ac:dyDescent="0.25">
      <c r="A48" s="11">
        <v>44</v>
      </c>
      <c r="B48" s="7" t="s">
        <v>42</v>
      </c>
      <c r="C48" s="7" t="s">
        <v>8</v>
      </c>
      <c r="D48" s="2" t="s">
        <v>158</v>
      </c>
      <c r="E48" s="7" t="s">
        <v>144</v>
      </c>
      <c r="F48" s="2" t="s">
        <v>98</v>
      </c>
      <c r="G48" s="2" t="s">
        <v>124</v>
      </c>
      <c r="H48" s="1" t="s">
        <v>133</v>
      </c>
      <c r="I48" s="1" t="str">
        <f>TEXT(tblData[[#This Row],[Tanggal Mulai]],"[$-id-ID]mmmm")</f>
        <v>April</v>
      </c>
      <c r="J48" s="47">
        <v>46139</v>
      </c>
      <c r="K48" s="47">
        <v>46142</v>
      </c>
      <c r="L48" s="1" t="s">
        <v>137</v>
      </c>
      <c r="M48" s="1" t="s">
        <v>95</v>
      </c>
      <c r="N48" s="1" t="s">
        <v>8</v>
      </c>
      <c r="O48" s="1" t="s">
        <v>158</v>
      </c>
      <c r="P48" s="1" t="s">
        <v>144</v>
      </c>
      <c r="Q48" s="1" t="s">
        <v>98</v>
      </c>
      <c r="R48" s="1" t="s">
        <v>124</v>
      </c>
      <c r="S48" s="1" t="s">
        <v>137</v>
      </c>
      <c r="T48" s="1" t="s">
        <v>8</v>
      </c>
      <c r="U48" s="1" t="s">
        <v>158</v>
      </c>
      <c r="V48" s="1" t="s">
        <v>144</v>
      </c>
      <c r="W48" s="61" t="s">
        <v>98</v>
      </c>
      <c r="X48" s="61" t="s">
        <v>124</v>
      </c>
      <c r="Y48" s="61" t="s">
        <v>137</v>
      </c>
      <c r="Z48" s="61" t="s">
        <v>8</v>
      </c>
      <c r="AA48" s="61" t="s">
        <v>158</v>
      </c>
      <c r="AB48" s="61" t="s">
        <v>144</v>
      </c>
      <c r="AC48" s="61" t="s">
        <v>98</v>
      </c>
      <c r="AD48" s="61" t="s">
        <v>124</v>
      </c>
      <c r="AE48" s="61" t="s">
        <v>137</v>
      </c>
    </row>
    <row r="49" spans="1:31" ht="60" x14ac:dyDescent="0.25">
      <c r="A49" s="11">
        <v>45</v>
      </c>
      <c r="B49" s="8" t="s">
        <v>43</v>
      </c>
      <c r="C49" s="30" t="s">
        <v>117</v>
      </c>
      <c r="D49" s="31" t="s">
        <v>162</v>
      </c>
      <c r="E49" s="30" t="s">
        <v>147</v>
      </c>
      <c r="F49" s="31" t="s">
        <v>101</v>
      </c>
      <c r="G49" s="2" t="s">
        <v>127</v>
      </c>
      <c r="H49" s="1" t="s">
        <v>133</v>
      </c>
      <c r="I49" s="56" t="str">
        <f>TEXT(tblData[[#This Row],[Tanggal Mulai]],"[$-id-ID]mmmm")</f>
        <v>April</v>
      </c>
      <c r="J49" s="57">
        <v>46140</v>
      </c>
      <c r="K49" s="46">
        <v>46147</v>
      </c>
      <c r="L49" s="1" t="s">
        <v>137</v>
      </c>
      <c r="M49" s="1" t="s">
        <v>95</v>
      </c>
      <c r="N49" s="1" t="s">
        <v>140</v>
      </c>
      <c r="O49" s="1" t="s">
        <v>162</v>
      </c>
      <c r="P49" s="1" t="s">
        <v>147</v>
      </c>
      <c r="Q49" s="1" t="s">
        <v>101</v>
      </c>
      <c r="R49" s="1" t="s">
        <v>127</v>
      </c>
      <c r="S49" s="1" t="s">
        <v>137</v>
      </c>
      <c r="T49" s="1" t="s">
        <v>140</v>
      </c>
      <c r="U49" s="1" t="s">
        <v>162</v>
      </c>
      <c r="V49" s="1" t="s">
        <v>147</v>
      </c>
      <c r="W49" s="61" t="s">
        <v>101</v>
      </c>
      <c r="X49" s="61" t="s">
        <v>127</v>
      </c>
      <c r="Y49" s="61" t="s">
        <v>137</v>
      </c>
      <c r="Z49" s="61" t="s">
        <v>140</v>
      </c>
      <c r="AA49" s="61" t="s">
        <v>162</v>
      </c>
      <c r="AB49" s="61" t="s">
        <v>147</v>
      </c>
      <c r="AC49" s="61" t="s">
        <v>101</v>
      </c>
      <c r="AD49" s="61" t="s">
        <v>127</v>
      </c>
      <c r="AE49" s="61" t="s">
        <v>137</v>
      </c>
    </row>
    <row r="50" spans="1:31" ht="90" x14ac:dyDescent="0.25">
      <c r="A50" s="11">
        <v>46</v>
      </c>
      <c r="B50" s="8" t="s">
        <v>44</v>
      </c>
      <c r="C50" s="7" t="s">
        <v>8</v>
      </c>
      <c r="D50" s="2" t="s">
        <v>158</v>
      </c>
      <c r="E50" s="7" t="s">
        <v>144</v>
      </c>
      <c r="F50" s="2" t="s">
        <v>98</v>
      </c>
      <c r="G50" s="2" t="s">
        <v>127</v>
      </c>
      <c r="H50" s="1" t="s">
        <v>133</v>
      </c>
      <c r="I50" s="1" t="str">
        <f>TEXT(tblData[[#This Row],[Tanggal Mulai]],"[$-id-ID]mmmm")</f>
        <v>Mei</v>
      </c>
      <c r="J50" s="48">
        <v>46148</v>
      </c>
      <c r="K50" s="48">
        <v>46155</v>
      </c>
      <c r="L50" s="1" t="s">
        <v>137</v>
      </c>
      <c r="M50" s="1" t="s">
        <v>95</v>
      </c>
      <c r="N50" s="61" t="s">
        <v>8</v>
      </c>
      <c r="O50" s="1" t="s">
        <v>158</v>
      </c>
      <c r="P50" s="1" t="s">
        <v>144</v>
      </c>
      <c r="Q50" s="1" t="s">
        <v>98</v>
      </c>
      <c r="R50" s="1" t="s">
        <v>127</v>
      </c>
      <c r="S50" s="1" t="s">
        <v>137</v>
      </c>
      <c r="T50" s="1" t="s">
        <v>8</v>
      </c>
      <c r="U50" s="1" t="s">
        <v>158</v>
      </c>
      <c r="V50" s="1" t="s">
        <v>144</v>
      </c>
      <c r="W50" s="61" t="s">
        <v>98</v>
      </c>
      <c r="X50" s="61" t="s">
        <v>127</v>
      </c>
      <c r="Y50" s="61" t="s">
        <v>137</v>
      </c>
      <c r="Z50" s="61" t="s">
        <v>8</v>
      </c>
      <c r="AA50" s="61" t="s">
        <v>158</v>
      </c>
      <c r="AB50" s="61" t="s">
        <v>144</v>
      </c>
      <c r="AC50" s="61" t="s">
        <v>98</v>
      </c>
      <c r="AD50" s="61" t="s">
        <v>127</v>
      </c>
      <c r="AE50" s="61" t="s">
        <v>137</v>
      </c>
    </row>
    <row r="51" spans="1:31" ht="45" x14ac:dyDescent="0.25">
      <c r="A51" s="11">
        <v>47</v>
      </c>
      <c r="B51" s="7" t="s">
        <v>45</v>
      </c>
      <c r="C51" s="7" t="s">
        <v>118</v>
      </c>
      <c r="D51" s="2" t="s">
        <v>161</v>
      </c>
      <c r="E51" s="7" t="s">
        <v>144</v>
      </c>
      <c r="F51" s="2" t="s">
        <v>98</v>
      </c>
      <c r="G51" s="2" t="s">
        <v>124</v>
      </c>
      <c r="H51" s="1" t="s">
        <v>133</v>
      </c>
      <c r="I51" s="1" t="str">
        <f>TEXT(tblData[[#This Row],[Tanggal Mulai]],"[$-id-ID]mmmm")</f>
        <v>Mei</v>
      </c>
      <c r="J51" s="41">
        <v>46146</v>
      </c>
      <c r="K51" s="41">
        <v>46154</v>
      </c>
      <c r="L51" s="1" t="s">
        <v>136</v>
      </c>
      <c r="M51" s="1" t="s">
        <v>95</v>
      </c>
      <c r="N51" s="61" t="s">
        <v>140</v>
      </c>
      <c r="O51" s="1" t="s">
        <v>161</v>
      </c>
      <c r="P51" s="1" t="s">
        <v>144</v>
      </c>
      <c r="Q51" s="1" t="s">
        <v>98</v>
      </c>
      <c r="R51" s="1" t="s">
        <v>124</v>
      </c>
      <c r="S51" s="1" t="s">
        <v>136</v>
      </c>
      <c r="T51" s="1" t="s">
        <v>140</v>
      </c>
      <c r="U51" s="1" t="s">
        <v>161</v>
      </c>
      <c r="V51" s="1" t="s">
        <v>144</v>
      </c>
      <c r="W51" s="61" t="s">
        <v>98</v>
      </c>
      <c r="X51" s="61" t="s">
        <v>124</v>
      </c>
      <c r="Y51" s="61" t="s">
        <v>136</v>
      </c>
      <c r="Z51" s="61" t="s">
        <v>140</v>
      </c>
      <c r="AA51" s="61" t="s">
        <v>161</v>
      </c>
      <c r="AB51" s="61" t="s">
        <v>144</v>
      </c>
      <c r="AC51" s="61" t="s">
        <v>98</v>
      </c>
      <c r="AD51" s="61" t="s">
        <v>124</v>
      </c>
      <c r="AE51" s="61" t="s">
        <v>136</v>
      </c>
    </row>
    <row r="52" spans="1:31" ht="90" x14ac:dyDescent="0.25">
      <c r="A52" s="11">
        <v>48</v>
      </c>
      <c r="B52" s="2" t="s">
        <v>46</v>
      </c>
      <c r="C52" s="2" t="s">
        <v>107</v>
      </c>
      <c r="D52" s="2" t="s">
        <v>157</v>
      </c>
      <c r="E52" s="2" t="s">
        <v>144</v>
      </c>
      <c r="F52" s="2" t="s">
        <v>100</v>
      </c>
      <c r="G52" s="2" t="s">
        <v>125</v>
      </c>
      <c r="H52" s="1" t="s">
        <v>133</v>
      </c>
      <c r="I52" s="1" t="str">
        <f>TEXT(tblData[[#This Row],[Tanggal Mulai]],"[$-id-ID]mmmm")</f>
        <v>Mei</v>
      </c>
      <c r="J52" s="48">
        <v>46154</v>
      </c>
      <c r="K52" s="48">
        <v>46154</v>
      </c>
      <c r="L52" s="1" t="s">
        <v>137</v>
      </c>
      <c r="M52" s="1" t="s">
        <v>95</v>
      </c>
      <c r="N52" s="61" t="s">
        <v>107</v>
      </c>
      <c r="O52" s="1" t="s">
        <v>157</v>
      </c>
      <c r="P52" s="1" t="s">
        <v>144</v>
      </c>
      <c r="Q52" s="1" t="s">
        <v>100</v>
      </c>
      <c r="R52" s="1" t="s">
        <v>125</v>
      </c>
      <c r="S52" s="1" t="s">
        <v>137</v>
      </c>
      <c r="T52" s="1" t="s">
        <v>107</v>
      </c>
      <c r="U52" s="1" t="s">
        <v>157</v>
      </c>
      <c r="V52" s="1" t="s">
        <v>144</v>
      </c>
      <c r="W52" s="61" t="s">
        <v>100</v>
      </c>
      <c r="X52" s="61" t="s">
        <v>125</v>
      </c>
      <c r="Y52" s="61" t="s">
        <v>137</v>
      </c>
      <c r="Z52" s="61" t="s">
        <v>107</v>
      </c>
      <c r="AA52" s="61" t="s">
        <v>157</v>
      </c>
      <c r="AB52" s="61" t="s">
        <v>144</v>
      </c>
      <c r="AC52" s="61" t="s">
        <v>100</v>
      </c>
      <c r="AD52" s="61" t="s">
        <v>125</v>
      </c>
      <c r="AE52" s="61" t="s">
        <v>137</v>
      </c>
    </row>
    <row r="53" spans="1:31" s="28" customFormat="1" x14ac:dyDescent="0.25">
      <c r="A53" s="24">
        <v>49</v>
      </c>
      <c r="B53" s="25" t="s">
        <v>47</v>
      </c>
      <c r="C53" s="25"/>
      <c r="D53" s="25"/>
      <c r="E53" s="25"/>
      <c r="F53" s="26"/>
      <c r="G53" s="26"/>
      <c r="H53" s="27"/>
      <c r="I53" s="49"/>
      <c r="J53" s="49"/>
      <c r="K53" s="49"/>
      <c r="L53" s="27"/>
      <c r="M53" s="27"/>
      <c r="N53" s="62"/>
      <c r="O53" s="62"/>
      <c r="P53" s="62"/>
      <c r="Q53" s="62"/>
      <c r="R53" s="62"/>
      <c r="S53" s="62"/>
      <c r="T53" s="62"/>
      <c r="U53" s="62"/>
      <c r="V53" s="62"/>
      <c r="W53" s="66"/>
      <c r="X53" s="66"/>
      <c r="Y53" s="66"/>
      <c r="Z53" s="66"/>
      <c r="AA53" s="66"/>
      <c r="AB53" s="66"/>
      <c r="AC53" s="66"/>
      <c r="AD53" s="66"/>
      <c r="AE53" s="66"/>
    </row>
    <row r="54" spans="1:31" s="33" customFormat="1" ht="45" x14ac:dyDescent="0.25">
      <c r="A54" s="32">
        <v>50</v>
      </c>
      <c r="B54" s="8" t="s">
        <v>48</v>
      </c>
      <c r="C54" s="8" t="s">
        <v>114</v>
      </c>
      <c r="D54" s="8" t="s">
        <v>161</v>
      </c>
      <c r="E54" s="8" t="s">
        <v>144</v>
      </c>
      <c r="F54" s="8" t="s">
        <v>98</v>
      </c>
      <c r="G54" s="8" t="s">
        <v>127</v>
      </c>
      <c r="H54" s="3" t="s">
        <v>133</v>
      </c>
      <c r="I54" s="1" t="str">
        <f>TEXT(tblData[[#This Row],[Tanggal Mulai]],"[$-id-ID]mmmm")</f>
        <v>Mei</v>
      </c>
      <c r="J54" s="50">
        <v>46160</v>
      </c>
      <c r="K54" s="50">
        <v>46164</v>
      </c>
      <c r="L54" s="3" t="s">
        <v>136</v>
      </c>
      <c r="M54" s="3" t="s">
        <v>95</v>
      </c>
      <c r="N54" s="1" t="s">
        <v>140</v>
      </c>
      <c r="O54" s="1" t="s">
        <v>161</v>
      </c>
      <c r="P54" s="1" t="s">
        <v>144</v>
      </c>
      <c r="Q54" s="1" t="s">
        <v>98</v>
      </c>
      <c r="R54" s="1" t="s">
        <v>127</v>
      </c>
      <c r="S54" s="1" t="s">
        <v>136</v>
      </c>
      <c r="T54" s="1" t="s">
        <v>140</v>
      </c>
      <c r="U54" s="1" t="s">
        <v>161</v>
      </c>
      <c r="V54" s="1" t="s">
        <v>144</v>
      </c>
      <c r="W54" s="61" t="s">
        <v>98</v>
      </c>
      <c r="X54" s="61" t="s">
        <v>127</v>
      </c>
      <c r="Y54" s="61" t="s">
        <v>136</v>
      </c>
      <c r="Z54" s="61" t="s">
        <v>140</v>
      </c>
      <c r="AA54" s="61" t="s">
        <v>161</v>
      </c>
      <c r="AB54" s="61" t="s">
        <v>144</v>
      </c>
      <c r="AC54" s="61" t="s">
        <v>98</v>
      </c>
      <c r="AD54" s="61" t="s">
        <v>127</v>
      </c>
      <c r="AE54" s="61" t="s">
        <v>136</v>
      </c>
    </row>
    <row r="55" spans="1:31" ht="90" x14ac:dyDescent="0.25">
      <c r="A55" s="11">
        <v>51</v>
      </c>
      <c r="B55" s="7" t="s">
        <v>49</v>
      </c>
      <c r="C55" s="7" t="s">
        <v>121</v>
      </c>
      <c r="D55" s="2" t="s">
        <v>165</v>
      </c>
      <c r="E55" s="7" t="s">
        <v>144</v>
      </c>
      <c r="F55" s="2" t="s">
        <v>98</v>
      </c>
      <c r="G55" s="2" t="s">
        <v>124</v>
      </c>
      <c r="H55" s="1" t="s">
        <v>133</v>
      </c>
      <c r="I55" s="1" t="str">
        <f>TEXT(tblData[[#This Row],[Tanggal Mulai]],"[$-id-ID]mmmm")</f>
        <v>Mei</v>
      </c>
      <c r="J55" s="51">
        <v>46160</v>
      </c>
      <c r="K55" s="51">
        <v>46164</v>
      </c>
      <c r="L55" s="1" t="s">
        <v>136</v>
      </c>
      <c r="M55" s="1" t="s">
        <v>95</v>
      </c>
      <c r="N55" s="1" t="s">
        <v>20</v>
      </c>
      <c r="O55" s="1" t="s">
        <v>165</v>
      </c>
      <c r="P55" s="1" t="s">
        <v>144</v>
      </c>
      <c r="Q55" s="1" t="s">
        <v>98</v>
      </c>
      <c r="R55" s="1" t="s">
        <v>124</v>
      </c>
      <c r="S55" s="1" t="s">
        <v>136</v>
      </c>
      <c r="T55" s="1" t="s">
        <v>20</v>
      </c>
      <c r="U55" s="1" t="s">
        <v>165</v>
      </c>
      <c r="V55" s="1" t="s">
        <v>144</v>
      </c>
      <c r="W55" s="61" t="s">
        <v>98</v>
      </c>
      <c r="X55" s="61" t="s">
        <v>124</v>
      </c>
      <c r="Y55" s="61" t="s">
        <v>136</v>
      </c>
      <c r="Z55" s="61" t="s">
        <v>20</v>
      </c>
      <c r="AA55" s="61" t="s">
        <v>165</v>
      </c>
      <c r="AB55" s="61" t="s">
        <v>144</v>
      </c>
      <c r="AC55" s="61" t="s">
        <v>98</v>
      </c>
      <c r="AD55" s="61" t="s">
        <v>124</v>
      </c>
      <c r="AE55" s="61" t="s">
        <v>136</v>
      </c>
    </row>
    <row r="56" spans="1:31" ht="45" x14ac:dyDescent="0.25">
      <c r="A56" s="11">
        <v>52</v>
      </c>
      <c r="B56" s="7" t="s">
        <v>50</v>
      </c>
      <c r="C56" s="7" t="s">
        <v>119</v>
      </c>
      <c r="D56" s="2" t="s">
        <v>164</v>
      </c>
      <c r="E56" s="7" t="s">
        <v>144</v>
      </c>
      <c r="F56" s="2" t="s">
        <v>98</v>
      </c>
      <c r="G56" s="2" t="s">
        <v>124</v>
      </c>
      <c r="H56" s="1" t="s">
        <v>133</v>
      </c>
      <c r="I56" s="1" t="str">
        <f>TEXT(tblData[[#This Row],[Tanggal Mulai]],"[$-id-ID]mmmm")</f>
        <v>Mei</v>
      </c>
      <c r="J56" s="48">
        <v>46160</v>
      </c>
      <c r="K56" s="48">
        <v>46164</v>
      </c>
      <c r="L56" s="1" t="s">
        <v>136</v>
      </c>
      <c r="M56" s="1" t="s">
        <v>95</v>
      </c>
      <c r="N56" s="1" t="s">
        <v>140</v>
      </c>
      <c r="O56" s="1" t="s">
        <v>164</v>
      </c>
      <c r="P56" s="1" t="s">
        <v>144</v>
      </c>
      <c r="Q56" s="1" t="s">
        <v>98</v>
      </c>
      <c r="R56" s="1" t="s">
        <v>124</v>
      </c>
      <c r="S56" s="1" t="s">
        <v>136</v>
      </c>
      <c r="T56" s="1" t="s">
        <v>140</v>
      </c>
      <c r="U56" s="1" t="s">
        <v>164</v>
      </c>
      <c r="V56" s="1" t="s">
        <v>144</v>
      </c>
      <c r="W56" s="61" t="s">
        <v>98</v>
      </c>
      <c r="X56" s="61" t="s">
        <v>124</v>
      </c>
      <c r="Y56" s="61" t="s">
        <v>136</v>
      </c>
      <c r="Z56" s="61" t="s">
        <v>140</v>
      </c>
      <c r="AA56" s="61" t="s">
        <v>164</v>
      </c>
      <c r="AB56" s="61" t="s">
        <v>144</v>
      </c>
      <c r="AC56" s="61" t="s">
        <v>98</v>
      </c>
      <c r="AD56" s="61" t="s">
        <v>124</v>
      </c>
      <c r="AE56" s="61" t="s">
        <v>136</v>
      </c>
    </row>
    <row r="57" spans="1:31" s="23" customFormat="1" x14ac:dyDescent="0.25">
      <c r="A57" s="19">
        <v>53</v>
      </c>
      <c r="B57" s="20" t="s">
        <v>51</v>
      </c>
      <c r="C57" s="20"/>
      <c r="D57" s="20"/>
      <c r="E57" s="20"/>
      <c r="F57" s="20"/>
      <c r="G57" s="21"/>
      <c r="H57" s="21"/>
      <c r="I57" s="52"/>
      <c r="J57" s="52"/>
      <c r="K57" s="52"/>
      <c r="L57" s="22"/>
      <c r="M57" s="22"/>
      <c r="N57" s="22"/>
      <c r="O57" s="22"/>
      <c r="P57" s="22"/>
      <c r="Q57" s="22"/>
      <c r="R57" s="22"/>
      <c r="S57" s="22"/>
      <c r="T57" s="22"/>
      <c r="U57" s="22"/>
      <c r="V57" s="22"/>
      <c r="W57" s="66"/>
      <c r="X57" s="66"/>
      <c r="Y57" s="66"/>
      <c r="Z57" s="66"/>
      <c r="AA57" s="66"/>
      <c r="AB57" s="66"/>
      <c r="AC57" s="66"/>
      <c r="AD57" s="66"/>
      <c r="AE57" s="66"/>
    </row>
    <row r="58" spans="1:31" ht="90" x14ac:dyDescent="0.25">
      <c r="A58" s="11">
        <v>54</v>
      </c>
      <c r="B58" s="8" t="s">
        <v>52</v>
      </c>
      <c r="C58" s="7" t="s">
        <v>121</v>
      </c>
      <c r="D58" s="2" t="s">
        <v>165</v>
      </c>
      <c r="E58" s="7" t="s">
        <v>144</v>
      </c>
      <c r="F58" s="2" t="s">
        <v>98</v>
      </c>
      <c r="G58" s="2" t="s">
        <v>127</v>
      </c>
      <c r="H58" s="1" t="s">
        <v>133</v>
      </c>
      <c r="I58" s="1" t="str">
        <f>TEXT(tblData[[#This Row],[Tanggal Mulai]],"[$-id-ID]mmmm")</f>
        <v>Mei</v>
      </c>
      <c r="J58" s="50">
        <v>46167</v>
      </c>
      <c r="K58" s="50">
        <v>46178</v>
      </c>
      <c r="L58" s="1" t="s">
        <v>137</v>
      </c>
      <c r="M58" s="1" t="s">
        <v>95</v>
      </c>
      <c r="N58" s="1" t="s">
        <v>20</v>
      </c>
      <c r="O58" s="1" t="s">
        <v>165</v>
      </c>
      <c r="P58" s="1" t="s">
        <v>144</v>
      </c>
      <c r="Q58" s="1" t="s">
        <v>98</v>
      </c>
      <c r="R58" s="1" t="s">
        <v>127</v>
      </c>
      <c r="S58" s="1" t="s">
        <v>137</v>
      </c>
      <c r="T58" s="1" t="s">
        <v>20</v>
      </c>
      <c r="U58" s="1" t="s">
        <v>165</v>
      </c>
      <c r="V58" s="1" t="s">
        <v>144</v>
      </c>
      <c r="W58" s="61" t="s">
        <v>98</v>
      </c>
      <c r="X58" s="61" t="s">
        <v>127</v>
      </c>
      <c r="Y58" s="61" t="s">
        <v>137</v>
      </c>
      <c r="Z58" s="61" t="s">
        <v>20</v>
      </c>
      <c r="AA58" s="61" t="s">
        <v>165</v>
      </c>
      <c r="AB58" s="61" t="s">
        <v>144</v>
      </c>
      <c r="AC58" s="61" t="s">
        <v>98</v>
      </c>
      <c r="AD58" s="61" t="s">
        <v>127</v>
      </c>
      <c r="AE58" s="61" t="s">
        <v>137</v>
      </c>
    </row>
    <row r="59" spans="1:31" ht="75" x14ac:dyDescent="0.25">
      <c r="A59" s="11">
        <v>55</v>
      </c>
      <c r="B59" s="7" t="s">
        <v>53</v>
      </c>
      <c r="C59" s="7" t="s">
        <v>155</v>
      </c>
      <c r="D59" s="2" t="s">
        <v>158</v>
      </c>
      <c r="E59" s="7" t="s">
        <v>146</v>
      </c>
      <c r="F59" s="2" t="s">
        <v>103</v>
      </c>
      <c r="G59" s="2" t="s">
        <v>124</v>
      </c>
      <c r="H59" s="1" t="s">
        <v>133</v>
      </c>
      <c r="I59" s="1" t="str">
        <f>TEXT(tblData[[#This Row],[Tanggal Mulai]],"[$-id-ID]mmmm")</f>
        <v>Juni</v>
      </c>
      <c r="J59" s="41">
        <v>46175</v>
      </c>
      <c r="K59" s="41">
        <v>46178</v>
      </c>
      <c r="L59" s="1" t="s">
        <v>137</v>
      </c>
      <c r="M59" s="1" t="s">
        <v>95</v>
      </c>
      <c r="N59" s="1" t="s">
        <v>155</v>
      </c>
      <c r="O59" s="1" t="s">
        <v>158</v>
      </c>
      <c r="P59" s="1" t="s">
        <v>146</v>
      </c>
      <c r="Q59" s="1" t="s">
        <v>140</v>
      </c>
      <c r="R59" s="1" t="s">
        <v>124</v>
      </c>
      <c r="S59" s="1" t="s">
        <v>137</v>
      </c>
      <c r="T59" s="1" t="s">
        <v>155</v>
      </c>
      <c r="U59" s="1" t="s">
        <v>158</v>
      </c>
      <c r="V59" s="1" t="s">
        <v>146</v>
      </c>
      <c r="W59" s="61" t="s">
        <v>140</v>
      </c>
      <c r="X59" s="61" t="s">
        <v>124</v>
      </c>
      <c r="Y59" s="61" t="s">
        <v>137</v>
      </c>
      <c r="Z59" s="61" t="s">
        <v>155</v>
      </c>
      <c r="AA59" s="61" t="s">
        <v>158</v>
      </c>
      <c r="AB59" s="61" t="s">
        <v>146</v>
      </c>
      <c r="AC59" s="61" t="s">
        <v>140</v>
      </c>
      <c r="AD59" s="61" t="s">
        <v>124</v>
      </c>
      <c r="AE59" s="61" t="s">
        <v>137</v>
      </c>
    </row>
    <row r="60" spans="1:31" ht="75" x14ac:dyDescent="0.25">
      <c r="A60" s="11">
        <v>56</v>
      </c>
      <c r="B60" s="8" t="s">
        <v>54</v>
      </c>
      <c r="C60" s="8" t="s">
        <v>155</v>
      </c>
      <c r="D60" s="8" t="s">
        <v>158</v>
      </c>
      <c r="E60" s="8" t="s">
        <v>146</v>
      </c>
      <c r="F60" s="2" t="s">
        <v>103</v>
      </c>
      <c r="G60" s="2" t="s">
        <v>127</v>
      </c>
      <c r="H60" s="1" t="s">
        <v>133</v>
      </c>
      <c r="I60" s="1" t="str">
        <f>TEXT(tblData[[#This Row],[Tanggal Mulai]],"[$-id-ID]mmmm")</f>
        <v>Juni</v>
      </c>
      <c r="J60" s="50">
        <v>46181</v>
      </c>
      <c r="K60" s="50">
        <v>46185</v>
      </c>
      <c r="L60" s="1" t="s">
        <v>137</v>
      </c>
      <c r="M60" s="1" t="s">
        <v>95</v>
      </c>
      <c r="N60" s="1" t="s">
        <v>155</v>
      </c>
      <c r="O60" s="1" t="s">
        <v>158</v>
      </c>
      <c r="P60" s="1" t="s">
        <v>146</v>
      </c>
      <c r="Q60" s="1" t="s">
        <v>140</v>
      </c>
      <c r="R60" s="1" t="s">
        <v>127</v>
      </c>
      <c r="S60" s="1" t="s">
        <v>137</v>
      </c>
      <c r="T60" s="1" t="s">
        <v>155</v>
      </c>
      <c r="U60" s="1" t="s">
        <v>158</v>
      </c>
      <c r="V60" s="1" t="s">
        <v>146</v>
      </c>
      <c r="W60" s="61" t="s">
        <v>140</v>
      </c>
      <c r="X60" s="61" t="s">
        <v>127</v>
      </c>
      <c r="Y60" s="61" t="s">
        <v>137</v>
      </c>
      <c r="Z60" s="61" t="s">
        <v>155</v>
      </c>
      <c r="AA60" s="61" t="s">
        <v>158</v>
      </c>
      <c r="AB60" s="61" t="s">
        <v>146</v>
      </c>
      <c r="AC60" s="61" t="s">
        <v>140</v>
      </c>
      <c r="AD60" s="61" t="s">
        <v>127</v>
      </c>
      <c r="AE60" s="61" t="s">
        <v>137</v>
      </c>
    </row>
    <row r="61" spans="1:31" ht="75" x14ac:dyDescent="0.25">
      <c r="A61" s="11">
        <v>57</v>
      </c>
      <c r="B61" s="7" t="s">
        <v>55</v>
      </c>
      <c r="C61" s="7" t="s">
        <v>120</v>
      </c>
      <c r="D61" s="2" t="s">
        <v>160</v>
      </c>
      <c r="E61" s="7" t="s">
        <v>144</v>
      </c>
      <c r="F61" s="2" t="s">
        <v>98</v>
      </c>
      <c r="G61" s="2" t="s">
        <v>124</v>
      </c>
      <c r="H61" s="1" t="s">
        <v>133</v>
      </c>
      <c r="I61" s="1" t="str">
        <f>TEXT(tblData[[#This Row],[Tanggal Mulai]],"[$-id-ID]mmmm")</f>
        <v>Juni</v>
      </c>
      <c r="J61" s="41">
        <v>46181</v>
      </c>
      <c r="K61" s="41">
        <v>46185</v>
      </c>
      <c r="L61" s="1" t="s">
        <v>136</v>
      </c>
      <c r="M61" s="1" t="s">
        <v>95</v>
      </c>
      <c r="N61" s="1" t="s">
        <v>140</v>
      </c>
      <c r="O61" s="1" t="s">
        <v>160</v>
      </c>
      <c r="P61" s="1" t="s">
        <v>144</v>
      </c>
      <c r="Q61" s="1" t="s">
        <v>98</v>
      </c>
      <c r="R61" s="1" t="s">
        <v>124</v>
      </c>
      <c r="S61" s="1" t="s">
        <v>136</v>
      </c>
      <c r="T61" s="1" t="s">
        <v>140</v>
      </c>
      <c r="U61" s="1" t="s">
        <v>160</v>
      </c>
      <c r="V61" s="1" t="s">
        <v>144</v>
      </c>
      <c r="W61" s="61" t="s">
        <v>98</v>
      </c>
      <c r="X61" s="61" t="s">
        <v>124</v>
      </c>
      <c r="Y61" s="61" t="s">
        <v>136</v>
      </c>
      <c r="Z61" s="61" t="s">
        <v>140</v>
      </c>
      <c r="AA61" s="61" t="s">
        <v>160</v>
      </c>
      <c r="AB61" s="61" t="s">
        <v>144</v>
      </c>
      <c r="AC61" s="61" t="s">
        <v>98</v>
      </c>
      <c r="AD61" s="61" t="s">
        <v>124</v>
      </c>
      <c r="AE61" s="61" t="s">
        <v>136</v>
      </c>
    </row>
    <row r="62" spans="1:31" ht="45" x14ac:dyDescent="0.25">
      <c r="A62" s="11">
        <v>58</v>
      </c>
      <c r="B62" s="7" t="s">
        <v>56</v>
      </c>
      <c r="C62" s="7" t="s">
        <v>122</v>
      </c>
      <c r="D62" s="2" t="s">
        <v>157</v>
      </c>
      <c r="E62" s="7" t="s">
        <v>144</v>
      </c>
      <c r="F62" s="2" t="s">
        <v>98</v>
      </c>
      <c r="G62" s="2" t="s">
        <v>124</v>
      </c>
      <c r="H62" s="1" t="s">
        <v>133</v>
      </c>
      <c r="I62" s="1" t="str">
        <f>TEXT(tblData[[#This Row],[Tanggal Mulai]],"[$-id-ID]mmmm")</f>
        <v>Juni</v>
      </c>
      <c r="J62" s="48">
        <v>46181</v>
      </c>
      <c r="K62" s="48">
        <v>46185</v>
      </c>
      <c r="L62" s="1" t="s">
        <v>136</v>
      </c>
      <c r="M62" s="1" t="s">
        <v>95</v>
      </c>
      <c r="N62" s="1" t="s">
        <v>140</v>
      </c>
      <c r="O62" s="1" t="s">
        <v>157</v>
      </c>
      <c r="P62" s="1" t="s">
        <v>144</v>
      </c>
      <c r="Q62" s="1" t="s">
        <v>98</v>
      </c>
      <c r="R62" s="1" t="s">
        <v>124</v>
      </c>
      <c r="S62" s="1" t="s">
        <v>136</v>
      </c>
      <c r="T62" s="1" t="s">
        <v>140</v>
      </c>
      <c r="U62" s="1" t="s">
        <v>157</v>
      </c>
      <c r="V62" s="1" t="s">
        <v>144</v>
      </c>
      <c r="W62" s="61" t="s">
        <v>98</v>
      </c>
      <c r="X62" s="61" t="s">
        <v>124</v>
      </c>
      <c r="Y62" s="61" t="s">
        <v>136</v>
      </c>
      <c r="Z62" s="61" t="s">
        <v>140</v>
      </c>
      <c r="AA62" s="61" t="s">
        <v>157</v>
      </c>
      <c r="AB62" s="61" t="s">
        <v>144</v>
      </c>
      <c r="AC62" s="61" t="s">
        <v>98</v>
      </c>
      <c r="AD62" s="61" t="s">
        <v>124</v>
      </c>
      <c r="AE62" s="61" t="s">
        <v>136</v>
      </c>
    </row>
    <row r="63" spans="1:31" ht="45" x14ac:dyDescent="0.25">
      <c r="A63" s="11">
        <v>59</v>
      </c>
      <c r="B63" s="8" t="s">
        <v>57</v>
      </c>
      <c r="C63" s="8" t="s">
        <v>140</v>
      </c>
      <c r="D63" s="8" t="s">
        <v>140</v>
      </c>
      <c r="E63" s="8" t="s">
        <v>144</v>
      </c>
      <c r="F63" s="2" t="s">
        <v>98</v>
      </c>
      <c r="G63" s="2" t="s">
        <v>127</v>
      </c>
      <c r="H63" s="1" t="s">
        <v>133</v>
      </c>
      <c r="I63" s="1" t="str">
        <f>TEXT(tblData[[#This Row],[Tanggal Mulai]],"[$-id-ID]mmmm")</f>
        <v>Juni</v>
      </c>
      <c r="J63" s="53">
        <v>46188</v>
      </c>
      <c r="K63" s="53">
        <v>46192</v>
      </c>
      <c r="L63" s="1" t="s">
        <v>136</v>
      </c>
      <c r="M63" s="1" t="s">
        <v>95</v>
      </c>
      <c r="N63" s="1" t="s">
        <v>140</v>
      </c>
      <c r="O63" s="1"/>
      <c r="P63" s="1" t="s">
        <v>144</v>
      </c>
      <c r="Q63" s="1" t="s">
        <v>98</v>
      </c>
      <c r="R63" s="1" t="s">
        <v>127</v>
      </c>
      <c r="S63" s="1" t="s">
        <v>136</v>
      </c>
      <c r="T63" s="1" t="s">
        <v>140</v>
      </c>
      <c r="U63" s="1"/>
      <c r="V63" s="1" t="s">
        <v>144</v>
      </c>
      <c r="W63" s="61" t="s">
        <v>98</v>
      </c>
      <c r="X63" s="61" t="s">
        <v>127</v>
      </c>
      <c r="Y63" s="61" t="s">
        <v>136</v>
      </c>
      <c r="Z63" s="61" t="s">
        <v>140</v>
      </c>
      <c r="AA63" s="61"/>
      <c r="AB63" s="61" t="s">
        <v>144</v>
      </c>
      <c r="AC63" s="61" t="s">
        <v>98</v>
      </c>
      <c r="AD63" s="61" t="s">
        <v>127</v>
      </c>
      <c r="AE63" s="61" t="s">
        <v>136</v>
      </c>
    </row>
    <row r="64" spans="1:31" ht="60" x14ac:dyDescent="0.25">
      <c r="A64" s="11">
        <v>60</v>
      </c>
      <c r="B64" s="7" t="s">
        <v>58</v>
      </c>
      <c r="C64" s="7" t="s">
        <v>123</v>
      </c>
      <c r="D64" s="2" t="s">
        <v>162</v>
      </c>
      <c r="E64" s="7" t="s">
        <v>144</v>
      </c>
      <c r="F64" s="2" t="s">
        <v>98</v>
      </c>
      <c r="G64" s="2" t="s">
        <v>124</v>
      </c>
      <c r="H64" s="1" t="s">
        <v>133</v>
      </c>
      <c r="I64" s="1" t="str">
        <f>TEXT(tblData[[#This Row],[Tanggal Mulai]],"[$-id-ID]mmmm")</f>
        <v>Juni</v>
      </c>
      <c r="J64" s="48">
        <v>46195</v>
      </c>
      <c r="K64" s="48">
        <v>46199</v>
      </c>
      <c r="L64" s="1" t="s">
        <v>137</v>
      </c>
      <c r="M64" s="1" t="s">
        <v>95</v>
      </c>
      <c r="N64" s="1" t="s">
        <v>140</v>
      </c>
      <c r="O64" s="1" t="s">
        <v>162</v>
      </c>
      <c r="P64" s="1" t="s">
        <v>144</v>
      </c>
      <c r="Q64" s="1" t="s">
        <v>98</v>
      </c>
      <c r="R64" s="1" t="s">
        <v>124</v>
      </c>
      <c r="S64" s="1" t="s">
        <v>137</v>
      </c>
      <c r="T64" s="1" t="s">
        <v>140</v>
      </c>
      <c r="U64" s="1" t="s">
        <v>162</v>
      </c>
      <c r="V64" s="1" t="s">
        <v>144</v>
      </c>
      <c r="W64" s="61" t="s">
        <v>98</v>
      </c>
      <c r="X64" s="61" t="s">
        <v>124</v>
      </c>
      <c r="Y64" s="61" t="s">
        <v>137</v>
      </c>
      <c r="Z64" s="61" t="s">
        <v>140</v>
      </c>
      <c r="AA64" s="61" t="s">
        <v>162</v>
      </c>
      <c r="AB64" s="61" t="s">
        <v>144</v>
      </c>
      <c r="AC64" s="61" t="s">
        <v>98</v>
      </c>
      <c r="AD64" s="61" t="s">
        <v>124</v>
      </c>
      <c r="AE64" s="61" t="s">
        <v>137</v>
      </c>
    </row>
    <row r="65" spans="1:31" ht="60" x14ac:dyDescent="0.25">
      <c r="A65" s="11">
        <v>61</v>
      </c>
      <c r="B65" s="7" t="s">
        <v>59</v>
      </c>
      <c r="C65" s="7" t="s">
        <v>113</v>
      </c>
      <c r="D65" s="2" t="s">
        <v>158</v>
      </c>
      <c r="E65" s="7" t="s">
        <v>144</v>
      </c>
      <c r="F65" s="2" t="s">
        <v>98</v>
      </c>
      <c r="G65" s="2" t="s">
        <v>124</v>
      </c>
      <c r="H65" s="1" t="s">
        <v>133</v>
      </c>
      <c r="I65" s="1" t="str">
        <f>TEXT(tblData[[#This Row],[Tanggal Mulai]],"[$-id-ID]mmmm")</f>
        <v>Juni</v>
      </c>
      <c r="J65" s="58">
        <v>46195</v>
      </c>
      <c r="K65" s="58">
        <v>46199</v>
      </c>
      <c r="L65" s="1" t="s">
        <v>137</v>
      </c>
      <c r="M65" s="1" t="s">
        <v>95</v>
      </c>
      <c r="N65" s="1" t="s">
        <v>140</v>
      </c>
      <c r="O65" s="1" t="s">
        <v>158</v>
      </c>
      <c r="P65" s="1" t="s">
        <v>144</v>
      </c>
      <c r="Q65" s="1" t="s">
        <v>98</v>
      </c>
      <c r="R65" s="1" t="s">
        <v>124</v>
      </c>
      <c r="S65" s="1" t="s">
        <v>137</v>
      </c>
      <c r="T65" s="1" t="s">
        <v>140</v>
      </c>
      <c r="U65" s="1" t="s">
        <v>158</v>
      </c>
      <c r="V65" s="1" t="s">
        <v>144</v>
      </c>
      <c r="W65" s="61" t="s">
        <v>98</v>
      </c>
      <c r="X65" s="61" t="s">
        <v>124</v>
      </c>
      <c r="Y65" s="61" t="s">
        <v>137</v>
      </c>
      <c r="Z65" s="61" t="s">
        <v>140</v>
      </c>
      <c r="AA65" s="61" t="s">
        <v>158</v>
      </c>
      <c r="AB65" s="61" t="s">
        <v>144</v>
      </c>
      <c r="AC65" s="61" t="s">
        <v>98</v>
      </c>
      <c r="AD65" s="61" t="s">
        <v>124</v>
      </c>
      <c r="AE65" s="61" t="s">
        <v>137</v>
      </c>
    </row>
    <row r="66" spans="1:31" ht="90" x14ac:dyDescent="0.25">
      <c r="A66" s="11">
        <v>62</v>
      </c>
      <c r="B66" s="9" t="s">
        <v>60</v>
      </c>
      <c r="C66" s="9" t="s">
        <v>107</v>
      </c>
      <c r="D66" s="2" t="s">
        <v>157</v>
      </c>
      <c r="E66" s="9" t="s">
        <v>147</v>
      </c>
      <c r="F66" s="2" t="s">
        <v>101</v>
      </c>
      <c r="G66" s="2" t="s">
        <v>128</v>
      </c>
      <c r="H66" s="1" t="s">
        <v>133</v>
      </c>
      <c r="I66" s="1" t="str">
        <f>TEXT(tblData[[#This Row],[Tanggal Mulai]],"[$-id-ID]mmmm")</f>
        <v>Juni</v>
      </c>
      <c r="J66" s="50">
        <v>46195</v>
      </c>
      <c r="K66" s="50">
        <v>46203</v>
      </c>
      <c r="L66" s="1" t="s">
        <v>137</v>
      </c>
      <c r="M66" s="1" t="s">
        <v>95</v>
      </c>
      <c r="N66" s="1" t="s">
        <v>107</v>
      </c>
      <c r="O66" s="1" t="s">
        <v>157</v>
      </c>
      <c r="P66" s="1" t="s">
        <v>147</v>
      </c>
      <c r="Q66" s="1" t="s">
        <v>101</v>
      </c>
      <c r="R66" s="1" t="s">
        <v>128</v>
      </c>
      <c r="S66" s="1" t="s">
        <v>137</v>
      </c>
      <c r="T66" s="1" t="s">
        <v>107</v>
      </c>
      <c r="U66" s="1" t="s">
        <v>157</v>
      </c>
      <c r="V66" s="1" t="s">
        <v>147</v>
      </c>
      <c r="W66" s="61" t="s">
        <v>101</v>
      </c>
      <c r="X66" s="61" t="s">
        <v>128</v>
      </c>
      <c r="Y66" s="61" t="s">
        <v>137</v>
      </c>
      <c r="Z66" s="61" t="s">
        <v>107</v>
      </c>
      <c r="AA66" s="61" t="s">
        <v>157</v>
      </c>
      <c r="AB66" s="61" t="s">
        <v>147</v>
      </c>
      <c r="AC66" s="61" t="s">
        <v>101</v>
      </c>
      <c r="AD66" s="61" t="s">
        <v>128</v>
      </c>
      <c r="AE66" s="61" t="s">
        <v>137</v>
      </c>
    </row>
    <row r="67" spans="1:31" ht="45" x14ac:dyDescent="0.25">
      <c r="A67" s="11">
        <v>63</v>
      </c>
      <c r="B67" s="8" t="s">
        <v>61</v>
      </c>
      <c r="C67" s="8" t="s">
        <v>140</v>
      </c>
      <c r="D67" s="8" t="s">
        <v>140</v>
      </c>
      <c r="E67" s="8" t="s">
        <v>144</v>
      </c>
      <c r="F67" s="2"/>
      <c r="G67" s="2" t="s">
        <v>127</v>
      </c>
      <c r="H67" s="1" t="s">
        <v>133</v>
      </c>
      <c r="I67" s="1" t="str">
        <f>TEXT(tblData[[#This Row],[Tanggal Mulai]],"[$-id-ID]mmmm")</f>
        <v>Juni</v>
      </c>
      <c r="J67" s="53">
        <v>46202</v>
      </c>
      <c r="K67" s="53">
        <v>46206</v>
      </c>
      <c r="L67" s="1" t="s">
        <v>136</v>
      </c>
      <c r="M67" s="1" t="s">
        <v>95</v>
      </c>
      <c r="N67" s="1" t="s">
        <v>140</v>
      </c>
      <c r="O67" s="1" t="s">
        <v>140</v>
      </c>
      <c r="P67" s="1" t="s">
        <v>144</v>
      </c>
      <c r="Q67" s="1"/>
      <c r="R67" s="1" t="s">
        <v>127</v>
      </c>
      <c r="S67" s="1" t="s">
        <v>136</v>
      </c>
      <c r="T67" s="1" t="s">
        <v>140</v>
      </c>
      <c r="U67" s="1" t="s">
        <v>140</v>
      </c>
      <c r="V67" s="1" t="s">
        <v>144</v>
      </c>
      <c r="W67" s="61"/>
      <c r="X67" s="61" t="s">
        <v>127</v>
      </c>
      <c r="Y67" s="61" t="s">
        <v>136</v>
      </c>
      <c r="Z67" s="61" t="s">
        <v>140</v>
      </c>
      <c r="AA67" s="61" t="s">
        <v>140</v>
      </c>
      <c r="AB67" s="61" t="s">
        <v>144</v>
      </c>
      <c r="AC67" s="61"/>
      <c r="AD67" s="61" t="s">
        <v>127</v>
      </c>
      <c r="AE67" s="61" t="s">
        <v>136</v>
      </c>
    </row>
    <row r="68" spans="1:31" ht="90" x14ac:dyDescent="0.25">
      <c r="A68" s="11">
        <v>64</v>
      </c>
      <c r="B68" s="7" t="s">
        <v>62</v>
      </c>
      <c r="C68" s="7" t="s">
        <v>149</v>
      </c>
      <c r="D68" s="2" t="s">
        <v>157</v>
      </c>
      <c r="E68" s="7" t="s">
        <v>146</v>
      </c>
      <c r="F68" s="2" t="s">
        <v>131</v>
      </c>
      <c r="G68" s="2" t="s">
        <v>124</v>
      </c>
      <c r="H68" s="1" t="s">
        <v>133</v>
      </c>
      <c r="I68" s="1" t="str">
        <f>TEXT(tblData[[#This Row],[Tanggal Mulai]],"[$-id-ID]mmmm")</f>
        <v>Juni</v>
      </c>
      <c r="J68" s="48">
        <v>46202</v>
      </c>
      <c r="K68" s="48">
        <v>46206</v>
      </c>
      <c r="L68" s="1" t="s">
        <v>136</v>
      </c>
      <c r="M68" s="1" t="s">
        <v>95</v>
      </c>
      <c r="N68" s="1" t="s">
        <v>149</v>
      </c>
      <c r="O68" s="1" t="s">
        <v>157</v>
      </c>
      <c r="P68" s="1" t="s">
        <v>146</v>
      </c>
      <c r="Q68" s="1" t="s">
        <v>131</v>
      </c>
      <c r="R68" s="1" t="s">
        <v>124</v>
      </c>
      <c r="S68" s="1" t="s">
        <v>136</v>
      </c>
      <c r="T68" s="1" t="s">
        <v>149</v>
      </c>
      <c r="U68" s="1" t="s">
        <v>157</v>
      </c>
      <c r="V68" s="1" t="s">
        <v>146</v>
      </c>
      <c r="W68" s="61" t="s">
        <v>131</v>
      </c>
      <c r="X68" s="61" t="s">
        <v>124</v>
      </c>
      <c r="Y68" s="61" t="s">
        <v>136</v>
      </c>
      <c r="Z68" s="61" t="s">
        <v>149</v>
      </c>
      <c r="AA68" s="61" t="s">
        <v>157</v>
      </c>
      <c r="AB68" s="61" t="s">
        <v>146</v>
      </c>
      <c r="AC68" s="61" t="s">
        <v>131</v>
      </c>
      <c r="AD68" s="61" t="s">
        <v>124</v>
      </c>
      <c r="AE68" s="61" t="s">
        <v>136</v>
      </c>
    </row>
    <row r="69" spans="1:31" ht="60" x14ac:dyDescent="0.25">
      <c r="A69" s="11">
        <v>65</v>
      </c>
      <c r="B69" s="8" t="s">
        <v>63</v>
      </c>
      <c r="C69" s="8" t="s">
        <v>140</v>
      </c>
      <c r="D69" s="8" t="s">
        <v>140</v>
      </c>
      <c r="E69" s="8" t="s">
        <v>146</v>
      </c>
      <c r="F69" s="2" t="s">
        <v>131</v>
      </c>
      <c r="G69" s="2" t="s">
        <v>127</v>
      </c>
      <c r="H69" s="1" t="s">
        <v>134</v>
      </c>
      <c r="I69" s="1" t="str">
        <f>TEXT(tblData[[#This Row],[Tanggal Mulai]],"[$-id-ID]mmmm")</f>
        <v>Juli</v>
      </c>
      <c r="J69" s="53">
        <v>46209</v>
      </c>
      <c r="K69" s="53">
        <v>46213</v>
      </c>
      <c r="L69" s="1" t="s">
        <v>137</v>
      </c>
      <c r="M69" s="1" t="s">
        <v>95</v>
      </c>
      <c r="N69" s="1" t="s">
        <v>140</v>
      </c>
      <c r="O69" s="1" t="s">
        <v>140</v>
      </c>
      <c r="P69" s="1" t="s">
        <v>146</v>
      </c>
      <c r="Q69" s="1" t="s">
        <v>131</v>
      </c>
      <c r="R69" s="1" t="s">
        <v>127</v>
      </c>
      <c r="S69" s="1" t="s">
        <v>137</v>
      </c>
      <c r="T69" s="1" t="s">
        <v>140</v>
      </c>
      <c r="U69" s="1" t="s">
        <v>140</v>
      </c>
      <c r="V69" s="1" t="s">
        <v>146</v>
      </c>
      <c r="W69" s="61" t="s">
        <v>131</v>
      </c>
      <c r="X69" s="61" t="s">
        <v>127</v>
      </c>
      <c r="Y69" s="61" t="s">
        <v>137</v>
      </c>
      <c r="Z69" s="61" t="s">
        <v>140</v>
      </c>
      <c r="AA69" s="61" t="s">
        <v>140</v>
      </c>
      <c r="AB69" s="61" t="s">
        <v>146</v>
      </c>
      <c r="AC69" s="61" t="s">
        <v>131</v>
      </c>
      <c r="AD69" s="61" t="s">
        <v>127</v>
      </c>
      <c r="AE69" s="61" t="s">
        <v>137</v>
      </c>
    </row>
    <row r="70" spans="1:31" ht="60" x14ac:dyDescent="0.25">
      <c r="A70" s="11">
        <v>66</v>
      </c>
      <c r="B70" s="7" t="s">
        <v>64</v>
      </c>
      <c r="C70" s="7" t="s">
        <v>105</v>
      </c>
      <c r="D70" s="2" t="s">
        <v>166</v>
      </c>
      <c r="E70" s="7" t="s">
        <v>144</v>
      </c>
      <c r="F70" s="2" t="s">
        <v>98</v>
      </c>
      <c r="G70" s="2" t="s">
        <v>124</v>
      </c>
      <c r="H70" s="1" t="s">
        <v>134</v>
      </c>
      <c r="I70" s="1" t="str">
        <f>TEXT(tblData[[#This Row],[Tanggal Mulai]],"[$-id-ID]mmmm")</f>
        <v>Juli</v>
      </c>
      <c r="J70" s="48">
        <v>46209</v>
      </c>
      <c r="K70" s="48">
        <v>46213</v>
      </c>
      <c r="L70" s="1" t="s">
        <v>136</v>
      </c>
      <c r="M70" s="1" t="s">
        <v>95</v>
      </c>
      <c r="N70" s="1" t="s">
        <v>140</v>
      </c>
      <c r="O70" s="1" t="s">
        <v>166</v>
      </c>
      <c r="P70" s="1" t="s">
        <v>144</v>
      </c>
      <c r="Q70" s="1" t="s">
        <v>98</v>
      </c>
      <c r="R70" s="1" t="s">
        <v>124</v>
      </c>
      <c r="S70" s="1" t="s">
        <v>136</v>
      </c>
      <c r="T70" s="1" t="s">
        <v>140</v>
      </c>
      <c r="U70" s="1" t="s">
        <v>166</v>
      </c>
      <c r="V70" s="1" t="s">
        <v>144</v>
      </c>
      <c r="W70" s="61" t="s">
        <v>98</v>
      </c>
      <c r="X70" s="61" t="s">
        <v>124</v>
      </c>
      <c r="Y70" s="61" t="s">
        <v>136</v>
      </c>
      <c r="Z70" s="61" t="s">
        <v>140</v>
      </c>
      <c r="AA70" s="61" t="s">
        <v>166</v>
      </c>
      <c r="AB70" s="61" t="s">
        <v>144</v>
      </c>
      <c r="AC70" s="61" t="s">
        <v>98</v>
      </c>
      <c r="AD70" s="61" t="s">
        <v>124</v>
      </c>
      <c r="AE70" s="61" t="s">
        <v>136</v>
      </c>
    </row>
    <row r="71" spans="1:31" ht="45" x14ac:dyDescent="0.25">
      <c r="A71" s="11">
        <v>67</v>
      </c>
      <c r="B71" s="7" t="s">
        <v>65</v>
      </c>
      <c r="C71" s="7" t="s">
        <v>104</v>
      </c>
      <c r="D71" s="2" t="s">
        <v>161</v>
      </c>
      <c r="E71" s="7" t="s">
        <v>144</v>
      </c>
      <c r="F71" s="2" t="s">
        <v>98</v>
      </c>
      <c r="G71" s="2" t="s">
        <v>124</v>
      </c>
      <c r="H71" s="1" t="s">
        <v>134</v>
      </c>
      <c r="I71" s="1" t="str">
        <f>TEXT(tblData[[#This Row],[Tanggal Mulai]],"[$-id-ID]mmmm")</f>
        <v>Juli</v>
      </c>
      <c r="J71" s="41">
        <v>46209</v>
      </c>
      <c r="K71" s="41">
        <v>46213</v>
      </c>
      <c r="L71" s="1" t="s">
        <v>136</v>
      </c>
      <c r="M71" s="1" t="s">
        <v>95</v>
      </c>
      <c r="N71" s="1" t="s">
        <v>140</v>
      </c>
      <c r="O71" s="1" t="s">
        <v>161</v>
      </c>
      <c r="P71" s="1" t="s">
        <v>144</v>
      </c>
      <c r="Q71" s="1" t="s">
        <v>98</v>
      </c>
      <c r="R71" s="1" t="s">
        <v>124</v>
      </c>
      <c r="S71" s="1" t="s">
        <v>136</v>
      </c>
      <c r="T71" s="1" t="s">
        <v>140</v>
      </c>
      <c r="U71" s="1" t="s">
        <v>161</v>
      </c>
      <c r="V71" s="1" t="s">
        <v>144</v>
      </c>
      <c r="W71" s="61" t="s">
        <v>98</v>
      </c>
      <c r="X71" s="61" t="s">
        <v>124</v>
      </c>
      <c r="Y71" s="61" t="s">
        <v>136</v>
      </c>
      <c r="Z71" s="61" t="s">
        <v>140</v>
      </c>
      <c r="AA71" s="61" t="s">
        <v>161</v>
      </c>
      <c r="AB71" s="61" t="s">
        <v>144</v>
      </c>
      <c r="AC71" s="61" t="s">
        <v>98</v>
      </c>
      <c r="AD71" s="61" t="s">
        <v>124</v>
      </c>
      <c r="AE71" s="61" t="s">
        <v>136</v>
      </c>
    </row>
    <row r="72" spans="1:31" ht="60" x14ac:dyDescent="0.25">
      <c r="A72" s="11">
        <v>68</v>
      </c>
      <c r="B72" s="8" t="s">
        <v>66</v>
      </c>
      <c r="C72" s="8" t="s">
        <v>141</v>
      </c>
      <c r="D72" s="2" t="s">
        <v>161</v>
      </c>
      <c r="E72" s="8" t="s">
        <v>144</v>
      </c>
      <c r="F72" s="2" t="s">
        <v>98</v>
      </c>
      <c r="G72" s="2" t="s">
        <v>127</v>
      </c>
      <c r="H72" s="1" t="s">
        <v>134</v>
      </c>
      <c r="I72" s="1" t="str">
        <f>TEXT(tblData[[#This Row],[Tanggal Mulai]],"[$-id-ID]mmmm")</f>
        <v>Juli</v>
      </c>
      <c r="J72" s="50">
        <v>46216</v>
      </c>
      <c r="K72" s="50">
        <v>46220</v>
      </c>
      <c r="L72" s="1" t="s">
        <v>137</v>
      </c>
      <c r="M72" s="1" t="s">
        <v>96</v>
      </c>
      <c r="N72" s="1" t="s">
        <v>140</v>
      </c>
      <c r="O72" s="1" t="s">
        <v>161</v>
      </c>
      <c r="P72" s="1" t="s">
        <v>144</v>
      </c>
      <c r="Q72" s="1" t="s">
        <v>98</v>
      </c>
      <c r="R72" s="1" t="s">
        <v>127</v>
      </c>
      <c r="S72" s="1" t="s">
        <v>137</v>
      </c>
      <c r="T72" s="1" t="s">
        <v>140</v>
      </c>
      <c r="U72" s="1" t="s">
        <v>161</v>
      </c>
      <c r="V72" s="1" t="s">
        <v>144</v>
      </c>
      <c r="W72" s="61" t="s">
        <v>98</v>
      </c>
      <c r="X72" s="61" t="s">
        <v>127</v>
      </c>
      <c r="Y72" s="61" t="s">
        <v>137</v>
      </c>
      <c r="Z72" s="61" t="s">
        <v>140</v>
      </c>
      <c r="AA72" s="61" t="s">
        <v>161</v>
      </c>
      <c r="AB72" s="61" t="s">
        <v>144</v>
      </c>
      <c r="AC72" s="61" t="s">
        <v>98</v>
      </c>
      <c r="AD72" s="61" t="s">
        <v>127</v>
      </c>
      <c r="AE72" s="61" t="s">
        <v>137</v>
      </c>
    </row>
    <row r="73" spans="1:31" ht="90" x14ac:dyDescent="0.25">
      <c r="A73" s="11">
        <v>69</v>
      </c>
      <c r="B73" s="7" t="s">
        <v>67</v>
      </c>
      <c r="C73" s="2" t="s">
        <v>107</v>
      </c>
      <c r="D73" s="2" t="s">
        <v>157</v>
      </c>
      <c r="E73" s="2" t="s">
        <v>144</v>
      </c>
      <c r="F73" s="2" t="s">
        <v>100</v>
      </c>
      <c r="G73" s="2" t="s">
        <v>124</v>
      </c>
      <c r="H73" s="1" t="s">
        <v>134</v>
      </c>
      <c r="I73" s="1" t="str">
        <f>TEXT(tblData[[#This Row],[Tanggal Mulai]],"[$-id-ID]mmmm")</f>
        <v>Juli</v>
      </c>
      <c r="J73" s="41">
        <v>46216</v>
      </c>
      <c r="K73" s="41">
        <v>46220</v>
      </c>
      <c r="L73" s="1" t="s">
        <v>136</v>
      </c>
      <c r="M73" s="1" t="s">
        <v>96</v>
      </c>
      <c r="N73" s="1" t="s">
        <v>107</v>
      </c>
      <c r="O73" s="1" t="s">
        <v>157</v>
      </c>
      <c r="P73" s="1" t="s">
        <v>144</v>
      </c>
      <c r="Q73" s="1" t="s">
        <v>100</v>
      </c>
      <c r="R73" s="1" t="s">
        <v>124</v>
      </c>
      <c r="S73" s="1" t="s">
        <v>136</v>
      </c>
      <c r="T73" s="1" t="s">
        <v>107</v>
      </c>
      <c r="U73" s="1" t="s">
        <v>157</v>
      </c>
      <c r="V73" s="1" t="s">
        <v>144</v>
      </c>
      <c r="W73" s="61" t="s">
        <v>100</v>
      </c>
      <c r="X73" s="61" t="s">
        <v>124</v>
      </c>
      <c r="Y73" s="61" t="s">
        <v>136</v>
      </c>
      <c r="Z73" s="61" t="s">
        <v>107</v>
      </c>
      <c r="AA73" s="61" t="s">
        <v>157</v>
      </c>
      <c r="AB73" s="61" t="s">
        <v>144</v>
      </c>
      <c r="AC73" s="61" t="s">
        <v>100</v>
      </c>
      <c r="AD73" s="61" t="s">
        <v>124</v>
      </c>
      <c r="AE73" s="61" t="s">
        <v>136</v>
      </c>
    </row>
    <row r="74" spans="1:31" ht="90" x14ac:dyDescent="0.25">
      <c r="A74" s="11">
        <v>70</v>
      </c>
      <c r="B74" s="7" t="s">
        <v>68</v>
      </c>
      <c r="C74" s="2" t="s">
        <v>107</v>
      </c>
      <c r="D74" s="2" t="s">
        <v>157</v>
      </c>
      <c r="E74" s="2" t="s">
        <v>144</v>
      </c>
      <c r="F74" s="2" t="s">
        <v>100</v>
      </c>
      <c r="G74" s="2" t="s">
        <v>126</v>
      </c>
      <c r="H74" s="1" t="s">
        <v>134</v>
      </c>
      <c r="I74" s="1" t="str">
        <f>TEXT(tblData[[#This Row],[Tanggal Mulai]],"[$-id-ID]mmmm")</f>
        <v>Juli</v>
      </c>
      <c r="J74" s="48">
        <v>46216</v>
      </c>
      <c r="K74" s="48">
        <v>46220</v>
      </c>
      <c r="L74" s="1" t="s">
        <v>137</v>
      </c>
      <c r="M74" s="1" t="s">
        <v>96</v>
      </c>
      <c r="N74" s="1" t="s">
        <v>107</v>
      </c>
      <c r="O74" s="1" t="s">
        <v>157</v>
      </c>
      <c r="P74" s="1" t="s">
        <v>144</v>
      </c>
      <c r="Q74" s="1" t="s">
        <v>100</v>
      </c>
      <c r="R74" s="1" t="s">
        <v>126</v>
      </c>
      <c r="S74" s="1" t="s">
        <v>137</v>
      </c>
      <c r="T74" s="1" t="s">
        <v>107</v>
      </c>
      <c r="U74" s="1" t="s">
        <v>157</v>
      </c>
      <c r="V74" s="1" t="s">
        <v>144</v>
      </c>
      <c r="W74" s="61" t="s">
        <v>100</v>
      </c>
      <c r="X74" s="61" t="s">
        <v>126</v>
      </c>
      <c r="Y74" s="61" t="s">
        <v>137</v>
      </c>
      <c r="Z74" s="61" t="s">
        <v>107</v>
      </c>
      <c r="AA74" s="61" t="s">
        <v>157</v>
      </c>
      <c r="AB74" s="61" t="s">
        <v>144</v>
      </c>
      <c r="AC74" s="61" t="s">
        <v>100</v>
      </c>
      <c r="AD74" s="61" t="s">
        <v>126</v>
      </c>
      <c r="AE74" s="61" t="s">
        <v>137</v>
      </c>
    </row>
    <row r="75" spans="1:31" ht="60" x14ac:dyDescent="0.25">
      <c r="A75" s="11">
        <v>71</v>
      </c>
      <c r="B75" s="8" t="s">
        <v>69</v>
      </c>
      <c r="C75" s="8" t="s">
        <v>140</v>
      </c>
      <c r="D75" s="2" t="s">
        <v>140</v>
      </c>
      <c r="E75" s="8" t="s">
        <v>146</v>
      </c>
      <c r="F75" s="2" t="s">
        <v>150</v>
      </c>
      <c r="G75" s="2" t="s">
        <v>127</v>
      </c>
      <c r="H75" s="1" t="s">
        <v>134</v>
      </c>
      <c r="I75" s="1" t="str">
        <f>TEXT(tblData[[#This Row],[Tanggal Mulai]],"[$-id-ID]mmmm")</f>
        <v>Juli</v>
      </c>
      <c r="J75" s="53">
        <v>46223</v>
      </c>
      <c r="K75" s="53">
        <v>46234</v>
      </c>
      <c r="L75" s="1" t="s">
        <v>137</v>
      </c>
      <c r="M75" s="1" t="s">
        <v>97</v>
      </c>
      <c r="N75" s="1" t="s">
        <v>140</v>
      </c>
      <c r="O75" s="1" t="s">
        <v>140</v>
      </c>
      <c r="P75" s="1" t="s">
        <v>146</v>
      </c>
      <c r="Q75" s="1" t="s">
        <v>150</v>
      </c>
      <c r="R75" s="1" t="s">
        <v>127</v>
      </c>
      <c r="S75" s="1" t="s">
        <v>137</v>
      </c>
      <c r="T75" s="1" t="s">
        <v>140</v>
      </c>
      <c r="U75" s="1" t="s">
        <v>140</v>
      </c>
      <c r="V75" s="1" t="s">
        <v>146</v>
      </c>
      <c r="W75" s="61" t="s">
        <v>150</v>
      </c>
      <c r="X75" s="61" t="s">
        <v>127</v>
      </c>
      <c r="Y75" s="61" t="s">
        <v>137</v>
      </c>
      <c r="Z75" s="61" t="s">
        <v>140</v>
      </c>
      <c r="AA75" s="61" t="s">
        <v>140</v>
      </c>
      <c r="AB75" s="61" t="s">
        <v>146</v>
      </c>
      <c r="AC75" s="61" t="s">
        <v>150</v>
      </c>
      <c r="AD75" s="61" t="s">
        <v>127</v>
      </c>
      <c r="AE75" s="61" t="s">
        <v>137</v>
      </c>
    </row>
    <row r="76" spans="1:31" ht="60" x14ac:dyDescent="0.25">
      <c r="A76" s="11">
        <v>72</v>
      </c>
      <c r="B76" s="7" t="s">
        <v>70</v>
      </c>
      <c r="C76" s="7" t="s">
        <v>145</v>
      </c>
      <c r="D76" s="2" t="s">
        <v>157</v>
      </c>
      <c r="E76" s="7" t="s">
        <v>144</v>
      </c>
      <c r="F76" s="2" t="s">
        <v>151</v>
      </c>
      <c r="G76" s="2" t="s">
        <v>124</v>
      </c>
      <c r="H76" s="1" t="s">
        <v>134</v>
      </c>
      <c r="I76" s="1" t="str">
        <f>TEXT(tblData[[#This Row],[Tanggal Mulai]],"[$-id-ID]mmmm")</f>
        <v>Juli</v>
      </c>
      <c r="J76" s="48">
        <v>46223</v>
      </c>
      <c r="K76" s="48">
        <v>46234</v>
      </c>
      <c r="L76" s="1" t="s">
        <v>137</v>
      </c>
      <c r="M76" s="1" t="s">
        <v>97</v>
      </c>
      <c r="N76" s="1" t="s">
        <v>140</v>
      </c>
      <c r="O76" s="1" t="s">
        <v>157</v>
      </c>
      <c r="P76" s="1" t="s">
        <v>144</v>
      </c>
      <c r="Q76" s="1" t="s">
        <v>151</v>
      </c>
      <c r="R76" s="1" t="s">
        <v>124</v>
      </c>
      <c r="S76" s="1" t="s">
        <v>137</v>
      </c>
      <c r="T76" s="1" t="s">
        <v>140</v>
      </c>
      <c r="U76" s="1" t="s">
        <v>157</v>
      </c>
      <c r="V76" s="1" t="s">
        <v>144</v>
      </c>
      <c r="W76" s="61" t="s">
        <v>151</v>
      </c>
      <c r="X76" s="61" t="s">
        <v>124</v>
      </c>
      <c r="Y76" s="61" t="s">
        <v>137</v>
      </c>
      <c r="Z76" s="61" t="s">
        <v>140</v>
      </c>
      <c r="AA76" s="61" t="s">
        <v>157</v>
      </c>
      <c r="AB76" s="61" t="s">
        <v>144</v>
      </c>
      <c r="AC76" s="61" t="s">
        <v>151</v>
      </c>
      <c r="AD76" s="61" t="s">
        <v>124</v>
      </c>
      <c r="AE76" s="61" t="s">
        <v>137</v>
      </c>
    </row>
    <row r="77" spans="1:31" ht="90" x14ac:dyDescent="0.25">
      <c r="A77" s="11">
        <v>73</v>
      </c>
      <c r="B77" s="7" t="s">
        <v>71</v>
      </c>
      <c r="C77" s="2" t="s">
        <v>107</v>
      </c>
      <c r="D77" s="2" t="s">
        <v>157</v>
      </c>
      <c r="E77" s="2" t="s">
        <v>144</v>
      </c>
      <c r="F77" s="2" t="s">
        <v>100</v>
      </c>
      <c r="G77" s="2" t="s">
        <v>130</v>
      </c>
      <c r="H77" s="1" t="s">
        <v>134</v>
      </c>
      <c r="I77" s="1" t="str">
        <f>TEXT(tblData[[#This Row],[Tanggal Mulai]],"[$-id-ID]mmmm")</f>
        <v>Agustus</v>
      </c>
      <c r="J77" s="53">
        <v>46237</v>
      </c>
      <c r="K77" s="53">
        <v>46241</v>
      </c>
      <c r="L77" s="1" t="s">
        <v>136</v>
      </c>
      <c r="M77" s="1" t="s">
        <v>97</v>
      </c>
      <c r="N77" s="1" t="s">
        <v>107</v>
      </c>
      <c r="O77" s="1" t="s">
        <v>157</v>
      </c>
      <c r="P77" s="1" t="s">
        <v>144</v>
      </c>
      <c r="Q77" s="1" t="s">
        <v>100</v>
      </c>
      <c r="R77" s="1" t="s">
        <v>130</v>
      </c>
      <c r="S77" s="1" t="s">
        <v>136</v>
      </c>
      <c r="T77" s="1" t="s">
        <v>107</v>
      </c>
      <c r="U77" s="1" t="s">
        <v>157</v>
      </c>
      <c r="V77" s="1" t="s">
        <v>144</v>
      </c>
      <c r="W77" s="61" t="s">
        <v>100</v>
      </c>
      <c r="X77" s="61" t="s">
        <v>130</v>
      </c>
      <c r="Y77" s="61" t="s">
        <v>136</v>
      </c>
      <c r="Z77" s="61" t="s">
        <v>107</v>
      </c>
      <c r="AA77" s="61" t="s">
        <v>157</v>
      </c>
      <c r="AB77" s="61" t="s">
        <v>144</v>
      </c>
      <c r="AC77" s="61" t="s">
        <v>100</v>
      </c>
      <c r="AD77" s="61" t="s">
        <v>130</v>
      </c>
      <c r="AE77" s="61" t="s">
        <v>136</v>
      </c>
    </row>
    <row r="78" spans="1:31" ht="45" x14ac:dyDescent="0.25">
      <c r="A78" s="11">
        <v>74</v>
      </c>
      <c r="B78" s="8" t="s">
        <v>72</v>
      </c>
      <c r="C78" s="8" t="s">
        <v>145</v>
      </c>
      <c r="D78" s="2" t="s">
        <v>157</v>
      </c>
      <c r="E78" s="8" t="s">
        <v>146</v>
      </c>
      <c r="F78" s="2" t="s">
        <v>99</v>
      </c>
      <c r="G78" s="2" t="s">
        <v>127</v>
      </c>
      <c r="H78" s="1" t="s">
        <v>134</v>
      </c>
      <c r="I78" s="1" t="str">
        <f>TEXT(tblData[[#This Row],[Tanggal Mulai]],"[$-id-ID]mmmm")</f>
        <v>Agustus</v>
      </c>
      <c r="J78" s="50">
        <v>46237</v>
      </c>
      <c r="K78" s="50">
        <v>46241</v>
      </c>
      <c r="L78" s="1" t="s">
        <v>136</v>
      </c>
      <c r="M78" s="1" t="s">
        <v>97</v>
      </c>
      <c r="N78" s="1" t="s">
        <v>140</v>
      </c>
      <c r="O78" s="1" t="s">
        <v>157</v>
      </c>
      <c r="P78" s="1" t="s">
        <v>146</v>
      </c>
      <c r="Q78" s="1" t="s">
        <v>140</v>
      </c>
      <c r="R78" s="1" t="s">
        <v>127</v>
      </c>
      <c r="S78" s="1" t="s">
        <v>136</v>
      </c>
      <c r="T78" s="1" t="s">
        <v>140</v>
      </c>
      <c r="U78" s="1" t="s">
        <v>157</v>
      </c>
      <c r="V78" s="1" t="s">
        <v>146</v>
      </c>
      <c r="W78" s="61" t="s">
        <v>140</v>
      </c>
      <c r="X78" s="61" t="s">
        <v>127</v>
      </c>
      <c r="Y78" s="61" t="s">
        <v>136</v>
      </c>
      <c r="Z78" s="61" t="s">
        <v>140</v>
      </c>
      <c r="AA78" s="61" t="s">
        <v>157</v>
      </c>
      <c r="AB78" s="61" t="s">
        <v>146</v>
      </c>
      <c r="AC78" s="61" t="s">
        <v>140</v>
      </c>
      <c r="AD78" s="61" t="s">
        <v>127</v>
      </c>
      <c r="AE78" s="61" t="s">
        <v>136</v>
      </c>
    </row>
    <row r="79" spans="1:31" ht="45" x14ac:dyDescent="0.25">
      <c r="A79" s="11">
        <v>75</v>
      </c>
      <c r="B79" s="8" t="s">
        <v>73</v>
      </c>
      <c r="C79" s="8" t="s">
        <v>140</v>
      </c>
      <c r="D79" s="8" t="s">
        <v>140</v>
      </c>
      <c r="E79" s="8" t="s">
        <v>144</v>
      </c>
      <c r="F79" s="2" t="s">
        <v>100</v>
      </c>
      <c r="G79" s="2" t="s">
        <v>130</v>
      </c>
      <c r="H79" s="1" t="s">
        <v>134</v>
      </c>
      <c r="I79" s="1" t="str">
        <f>TEXT(tblData[[#This Row],[Tanggal Mulai]],"[$-id-ID]mmmm")</f>
        <v>Agustus</v>
      </c>
      <c r="J79" s="41">
        <v>46237</v>
      </c>
      <c r="K79" s="41">
        <v>46247</v>
      </c>
      <c r="L79" s="1" t="s">
        <v>136</v>
      </c>
      <c r="M79" s="1" t="s">
        <v>97</v>
      </c>
      <c r="N79" s="1" t="s">
        <v>140</v>
      </c>
      <c r="O79" s="1" t="s">
        <v>140</v>
      </c>
      <c r="P79" s="1" t="s">
        <v>144</v>
      </c>
      <c r="Q79" s="1" t="s">
        <v>100</v>
      </c>
      <c r="R79" s="1" t="s">
        <v>130</v>
      </c>
      <c r="S79" s="1" t="s">
        <v>136</v>
      </c>
      <c r="T79" s="1" t="s">
        <v>140</v>
      </c>
      <c r="U79" s="1" t="s">
        <v>140</v>
      </c>
      <c r="V79" s="1" t="s">
        <v>144</v>
      </c>
      <c r="W79" s="61" t="s">
        <v>100</v>
      </c>
      <c r="X79" s="61" t="s">
        <v>130</v>
      </c>
      <c r="Y79" s="61" t="s">
        <v>136</v>
      </c>
      <c r="Z79" s="61" t="s">
        <v>140</v>
      </c>
      <c r="AA79" s="61" t="s">
        <v>140</v>
      </c>
      <c r="AB79" s="61" t="s">
        <v>144</v>
      </c>
      <c r="AC79" s="61" t="s">
        <v>100</v>
      </c>
      <c r="AD79" s="61" t="s">
        <v>130</v>
      </c>
      <c r="AE79" s="61" t="s">
        <v>136</v>
      </c>
    </row>
    <row r="80" spans="1:31" ht="90" x14ac:dyDescent="0.25">
      <c r="A80" s="11">
        <v>76</v>
      </c>
      <c r="B80" s="7" t="s">
        <v>74</v>
      </c>
      <c r="C80" s="7" t="s">
        <v>107</v>
      </c>
      <c r="D80" s="2" t="s">
        <v>157</v>
      </c>
      <c r="E80" s="7" t="s">
        <v>144</v>
      </c>
      <c r="F80" s="2" t="s">
        <v>100</v>
      </c>
      <c r="G80" s="2" t="s">
        <v>124</v>
      </c>
      <c r="H80" s="1" t="s">
        <v>134</v>
      </c>
      <c r="I80" s="1" t="str">
        <f>TEXT(tblData[[#This Row],[Tanggal Mulai]],"[$-id-ID]mmmm")</f>
        <v>Agustus</v>
      </c>
      <c r="J80" s="48">
        <v>46237</v>
      </c>
      <c r="K80" s="48">
        <v>46241</v>
      </c>
      <c r="L80" s="1" t="s">
        <v>136</v>
      </c>
      <c r="M80" s="1" t="s">
        <v>97</v>
      </c>
      <c r="N80" s="1" t="s">
        <v>107</v>
      </c>
      <c r="O80" s="1" t="s">
        <v>157</v>
      </c>
      <c r="P80" s="1" t="s">
        <v>144</v>
      </c>
      <c r="Q80" s="1" t="s">
        <v>100</v>
      </c>
      <c r="R80" s="1" t="s">
        <v>124</v>
      </c>
      <c r="S80" s="1" t="s">
        <v>136</v>
      </c>
      <c r="T80" s="1" t="s">
        <v>107</v>
      </c>
      <c r="U80" s="1" t="s">
        <v>157</v>
      </c>
      <c r="V80" s="1" t="s">
        <v>144</v>
      </c>
      <c r="W80" s="61" t="s">
        <v>100</v>
      </c>
      <c r="X80" s="61" t="s">
        <v>124</v>
      </c>
      <c r="Y80" s="61" t="s">
        <v>136</v>
      </c>
      <c r="Z80" s="61" t="s">
        <v>107</v>
      </c>
      <c r="AA80" s="61" t="s">
        <v>157</v>
      </c>
      <c r="AB80" s="61" t="s">
        <v>144</v>
      </c>
      <c r="AC80" s="61" t="s">
        <v>100</v>
      </c>
      <c r="AD80" s="61" t="s">
        <v>124</v>
      </c>
      <c r="AE80" s="61" t="s">
        <v>136</v>
      </c>
    </row>
    <row r="81" spans="1:31" ht="60" x14ac:dyDescent="0.25">
      <c r="A81" s="11">
        <v>77</v>
      </c>
      <c r="B81" s="7" t="s">
        <v>75</v>
      </c>
      <c r="C81" s="2" t="s">
        <v>140</v>
      </c>
      <c r="D81" s="2" t="s">
        <v>140</v>
      </c>
      <c r="E81" s="7" t="s">
        <v>140</v>
      </c>
      <c r="F81" s="2" t="s">
        <v>140</v>
      </c>
      <c r="G81" s="2" t="s">
        <v>124</v>
      </c>
      <c r="H81" s="1" t="s">
        <v>134</v>
      </c>
      <c r="I81" s="1" t="str">
        <f>TEXT(tblData[[#This Row],[Tanggal Mulai]],"[$-id-ID]mmmm")</f>
        <v>Agustus</v>
      </c>
      <c r="J81" s="41">
        <v>46244</v>
      </c>
      <c r="K81" s="41">
        <v>46248</v>
      </c>
      <c r="L81" s="1" t="s">
        <v>137</v>
      </c>
      <c r="M81" s="1" t="s">
        <v>97</v>
      </c>
      <c r="N81" s="1" t="s">
        <v>140</v>
      </c>
      <c r="O81" s="1" t="s">
        <v>140</v>
      </c>
      <c r="P81" s="1" t="s">
        <v>140</v>
      </c>
      <c r="Q81" s="1" t="s">
        <v>140</v>
      </c>
      <c r="R81" s="1" t="s">
        <v>124</v>
      </c>
      <c r="S81" s="1" t="s">
        <v>137</v>
      </c>
      <c r="T81" s="1" t="s">
        <v>140</v>
      </c>
      <c r="U81" s="1" t="s">
        <v>140</v>
      </c>
      <c r="V81" s="1" t="s">
        <v>140</v>
      </c>
      <c r="W81" s="61" t="s">
        <v>140</v>
      </c>
      <c r="X81" s="61" t="s">
        <v>124</v>
      </c>
      <c r="Y81" s="61" t="s">
        <v>137</v>
      </c>
      <c r="Z81" s="61" t="s">
        <v>140</v>
      </c>
      <c r="AA81" s="61" t="s">
        <v>140</v>
      </c>
      <c r="AB81" s="61" t="s">
        <v>140</v>
      </c>
      <c r="AC81" s="61" t="s">
        <v>140</v>
      </c>
      <c r="AD81" s="61" t="s">
        <v>124</v>
      </c>
      <c r="AE81" s="61" t="s">
        <v>137</v>
      </c>
    </row>
    <row r="82" spans="1:31" ht="60" x14ac:dyDescent="0.25">
      <c r="A82" s="11">
        <v>78</v>
      </c>
      <c r="B82" s="7" t="s">
        <v>76</v>
      </c>
      <c r="C82" s="2" t="s">
        <v>140</v>
      </c>
      <c r="D82" s="2" t="s">
        <v>140</v>
      </c>
      <c r="E82" s="7" t="s">
        <v>140</v>
      </c>
      <c r="F82" s="2" t="s">
        <v>140</v>
      </c>
      <c r="G82" s="2" t="s">
        <v>124</v>
      </c>
      <c r="H82" s="1" t="s">
        <v>134</v>
      </c>
      <c r="I82" s="1" t="str">
        <f>TEXT(tblData[[#This Row],[Tanggal Mulai]],"[$-id-ID]mmmm")</f>
        <v>Agustus</v>
      </c>
      <c r="J82" s="48">
        <v>46244</v>
      </c>
      <c r="K82" s="48">
        <v>46248</v>
      </c>
      <c r="L82" s="1" t="s">
        <v>137</v>
      </c>
      <c r="M82" s="1" t="s">
        <v>97</v>
      </c>
      <c r="N82" s="1" t="s">
        <v>140</v>
      </c>
      <c r="O82" s="1" t="s">
        <v>140</v>
      </c>
      <c r="P82" s="1" t="s">
        <v>140</v>
      </c>
      <c r="Q82" s="1" t="s">
        <v>140</v>
      </c>
      <c r="R82" s="1" t="s">
        <v>124</v>
      </c>
      <c r="S82" s="1" t="s">
        <v>137</v>
      </c>
      <c r="T82" s="1" t="s">
        <v>140</v>
      </c>
      <c r="U82" s="1" t="s">
        <v>140</v>
      </c>
      <c r="V82" s="1" t="s">
        <v>140</v>
      </c>
      <c r="W82" s="61" t="s">
        <v>140</v>
      </c>
      <c r="X82" s="61" t="s">
        <v>124</v>
      </c>
      <c r="Y82" s="61" t="s">
        <v>137</v>
      </c>
      <c r="Z82" s="61" t="s">
        <v>140</v>
      </c>
      <c r="AA82" s="61" t="s">
        <v>140</v>
      </c>
      <c r="AB82" s="61" t="s">
        <v>140</v>
      </c>
      <c r="AC82" s="61" t="s">
        <v>140</v>
      </c>
      <c r="AD82" s="61" t="s">
        <v>124</v>
      </c>
      <c r="AE82" s="61" t="s">
        <v>137</v>
      </c>
    </row>
    <row r="83" spans="1:31" s="23" customFormat="1" x14ac:dyDescent="0.25">
      <c r="A83" s="19">
        <v>79</v>
      </c>
      <c r="B83" s="20" t="s">
        <v>77</v>
      </c>
      <c r="C83" s="34"/>
      <c r="D83" s="2"/>
      <c r="E83" s="20"/>
      <c r="F83" s="21"/>
      <c r="G83" s="21"/>
      <c r="H83" s="21"/>
      <c r="I83" s="21"/>
      <c r="J83" s="52"/>
      <c r="K83" s="52"/>
      <c r="L83" s="22"/>
      <c r="M83" s="22"/>
      <c r="N83" s="22"/>
      <c r="O83" s="22"/>
      <c r="P83" s="22"/>
      <c r="Q83" s="22"/>
      <c r="R83" s="22"/>
      <c r="S83" s="22"/>
      <c r="T83" s="22"/>
      <c r="U83" s="22"/>
      <c r="V83" s="22"/>
      <c r="W83" s="66"/>
      <c r="X83" s="66"/>
      <c r="Y83" s="66"/>
      <c r="Z83" s="66"/>
      <c r="AA83" s="66"/>
      <c r="AB83" s="66"/>
      <c r="AC83" s="66"/>
      <c r="AD83" s="66"/>
      <c r="AE83" s="66"/>
    </row>
    <row r="84" spans="1:31" s="40" customFormat="1" ht="60" x14ac:dyDescent="0.25">
      <c r="A84" s="35">
        <v>80</v>
      </c>
      <c r="B84" s="36" t="s">
        <v>223</v>
      </c>
      <c r="C84" s="37" t="s">
        <v>140</v>
      </c>
      <c r="D84" s="37" t="s">
        <v>140</v>
      </c>
      <c r="E84" s="38" t="s">
        <v>140</v>
      </c>
      <c r="F84" s="37" t="s">
        <v>140</v>
      </c>
      <c r="G84" s="37"/>
      <c r="H84" s="39" t="s">
        <v>134</v>
      </c>
      <c r="I84" s="39" t="str">
        <f>TEXT(tblData[[#This Row],[Tanggal Mulai]],"[$-id-ID]mmmm")</f>
        <v>Agustus</v>
      </c>
      <c r="J84" s="54">
        <v>46252</v>
      </c>
      <c r="K84" s="54">
        <v>46255</v>
      </c>
      <c r="L84" s="39" t="s">
        <v>137</v>
      </c>
      <c r="M84" s="39" t="s">
        <v>97</v>
      </c>
      <c r="N84" s="39" t="s">
        <v>140</v>
      </c>
      <c r="O84" s="39" t="s">
        <v>140</v>
      </c>
      <c r="P84" s="39" t="s">
        <v>140</v>
      </c>
      <c r="Q84" s="39" t="s">
        <v>140</v>
      </c>
      <c r="R84" s="39"/>
      <c r="S84" s="39" t="s">
        <v>137</v>
      </c>
      <c r="T84" s="39" t="s">
        <v>140</v>
      </c>
      <c r="U84" s="39" t="s">
        <v>140</v>
      </c>
      <c r="V84" s="39" t="s">
        <v>140</v>
      </c>
      <c r="W84" s="67" t="s">
        <v>140</v>
      </c>
      <c r="X84" s="67"/>
      <c r="Y84" s="67" t="s">
        <v>137</v>
      </c>
      <c r="Z84" s="67" t="s">
        <v>140</v>
      </c>
      <c r="AA84" s="67" t="s">
        <v>140</v>
      </c>
      <c r="AB84" s="67" t="s">
        <v>140</v>
      </c>
      <c r="AC84" s="67" t="s">
        <v>140</v>
      </c>
      <c r="AD84" s="67"/>
      <c r="AE84" s="67" t="s">
        <v>137</v>
      </c>
    </row>
    <row r="85" spans="1:31" s="23" customFormat="1" x14ac:dyDescent="0.25">
      <c r="A85" s="19">
        <v>81</v>
      </c>
      <c r="B85" s="20" t="s">
        <v>78</v>
      </c>
      <c r="C85" s="34"/>
      <c r="D85" s="2"/>
      <c r="E85" s="20"/>
      <c r="F85" s="21"/>
      <c r="G85" s="21"/>
      <c r="H85" s="21"/>
      <c r="I85" s="1" t="str">
        <f>IF(ISNUMBER(SEARCH("Januari",tblData[[#This Row],[Tanggal Mulai]])),"Januari",
IF(ISNUMBER(SEARCH("Februari",tblData[[#This Row],[Tanggal Mulai]])),"Februari",
IF(ISNUMBER(SEARCH("Maret",tblData[[#This Row],[Tanggal Mulai]])),"Maret",
IF(ISNUMBER(SEARCH("April",tblData[[#This Row],[Tanggal Mulai]])),"April",
IF(ISNUMBER(SEARCH("Mei",tblData[[#This Row],[Tanggal Mulai]])),"Mei",
IF(ISNUMBER(SEARCH("Juni",tblData[[#This Row],[Tanggal Mulai]])),"Juni",
IF(ISNUMBER(SEARCH("Juli",tblData[[#This Row],[Tanggal Mulai]])),"Juli",
IF(ISNUMBER(SEARCH("Agustus",tblData[[#This Row],[Tanggal Mulai]])),"Agustus",
IF(ISNUMBER(SEARCH("September",tblData[[#This Row],[Tanggal Mulai]])),"September",
IF(ISNUMBER(SEARCH("Oktober",tblData[[#This Row],[Tanggal Mulai]])),"Oktober",
IF(ISNUMBER(SEARCH("November",tblData[[#This Row],[Tanggal Mulai]])),"November",
IF(ISNUMBER(SEARCH("Desember",tblData[[#This Row],[Tanggal Mulai]])),"Desember",""))))))))))))</f>
        <v/>
      </c>
      <c r="J85" s="52"/>
      <c r="K85" s="52"/>
      <c r="L85" s="22"/>
      <c r="M85" s="22"/>
      <c r="N85" s="22"/>
      <c r="O85" s="22"/>
      <c r="P85" s="22"/>
      <c r="Q85" s="22"/>
      <c r="R85" s="22"/>
      <c r="S85" s="22"/>
      <c r="T85" s="22"/>
      <c r="U85" s="22"/>
      <c r="V85" s="22"/>
      <c r="W85" s="66"/>
      <c r="X85" s="66"/>
      <c r="Y85" s="66"/>
      <c r="Z85" s="66"/>
      <c r="AA85" s="66"/>
      <c r="AB85" s="66"/>
      <c r="AC85" s="66"/>
      <c r="AD85" s="66"/>
      <c r="AE85" s="66"/>
    </row>
    <row r="86" spans="1:31" ht="60" x14ac:dyDescent="0.25">
      <c r="A86" s="11">
        <v>82</v>
      </c>
      <c r="B86" s="7" t="s">
        <v>224</v>
      </c>
      <c r="C86" s="2" t="s">
        <v>140</v>
      </c>
      <c r="D86" s="2" t="s">
        <v>140</v>
      </c>
      <c r="E86" s="7" t="s">
        <v>144</v>
      </c>
      <c r="F86" s="2" t="s">
        <v>98</v>
      </c>
      <c r="G86" s="2" t="s">
        <v>125</v>
      </c>
      <c r="H86" s="1" t="s">
        <v>134</v>
      </c>
      <c r="I86" s="1" t="str">
        <f>TEXT(tblData[[#This Row],[Tanggal Mulai]],"[$-id-ID]mmmm")</f>
        <v>Agustus</v>
      </c>
      <c r="J86" s="48">
        <v>46260</v>
      </c>
      <c r="K86" s="48">
        <v>46262</v>
      </c>
      <c r="L86" s="1" t="s">
        <v>137</v>
      </c>
      <c r="M86" s="1" t="s">
        <v>97</v>
      </c>
      <c r="N86" s="1" t="s">
        <v>140</v>
      </c>
      <c r="O86" s="1" t="s">
        <v>140</v>
      </c>
      <c r="P86" s="1" t="s">
        <v>144</v>
      </c>
      <c r="Q86" s="1" t="s">
        <v>98</v>
      </c>
      <c r="R86" s="1" t="s">
        <v>125</v>
      </c>
      <c r="S86" s="1" t="s">
        <v>137</v>
      </c>
      <c r="T86" s="1" t="s">
        <v>140</v>
      </c>
      <c r="U86" s="1" t="s">
        <v>140</v>
      </c>
      <c r="V86" s="1" t="s">
        <v>144</v>
      </c>
      <c r="W86" s="61" t="s">
        <v>98</v>
      </c>
      <c r="X86" s="61" t="s">
        <v>125</v>
      </c>
      <c r="Y86" s="61" t="s">
        <v>137</v>
      </c>
      <c r="Z86" s="61" t="s">
        <v>140</v>
      </c>
      <c r="AA86" s="61" t="s">
        <v>140</v>
      </c>
      <c r="AB86" s="61" t="s">
        <v>144</v>
      </c>
      <c r="AC86" s="61" t="s">
        <v>98</v>
      </c>
      <c r="AD86" s="61" t="s">
        <v>125</v>
      </c>
      <c r="AE86" s="61" t="s">
        <v>137</v>
      </c>
    </row>
    <row r="87" spans="1:31" ht="60" x14ac:dyDescent="0.25">
      <c r="A87" s="11">
        <v>83</v>
      </c>
      <c r="B87" s="7" t="s">
        <v>79</v>
      </c>
      <c r="C87" s="2" t="s">
        <v>140</v>
      </c>
      <c r="D87" s="2" t="s">
        <v>140</v>
      </c>
      <c r="E87" s="7" t="s">
        <v>140</v>
      </c>
      <c r="F87" s="2" t="s">
        <v>140</v>
      </c>
      <c r="G87" s="2" t="s">
        <v>124</v>
      </c>
      <c r="H87" s="1" t="s">
        <v>134</v>
      </c>
      <c r="I87" s="1" t="str">
        <f>TEXT(tblData[[#This Row],[Tanggal Mulai]],"[$-id-ID]mmmm")</f>
        <v>Agustus</v>
      </c>
      <c r="J87" s="41">
        <v>46265</v>
      </c>
      <c r="K87" s="41">
        <v>46269</v>
      </c>
      <c r="L87" s="1" t="s">
        <v>137</v>
      </c>
      <c r="M87" s="1" t="s">
        <v>97</v>
      </c>
      <c r="N87" s="1" t="s">
        <v>140</v>
      </c>
      <c r="O87" s="1" t="s">
        <v>140</v>
      </c>
      <c r="P87" s="1" t="s">
        <v>140</v>
      </c>
      <c r="Q87" s="1" t="s">
        <v>140</v>
      </c>
      <c r="R87" s="1" t="s">
        <v>124</v>
      </c>
      <c r="S87" s="1" t="s">
        <v>137</v>
      </c>
      <c r="T87" s="1" t="s">
        <v>140</v>
      </c>
      <c r="U87" s="1" t="s">
        <v>140</v>
      </c>
      <c r="V87" s="1" t="s">
        <v>140</v>
      </c>
      <c r="W87" s="61" t="s">
        <v>140</v>
      </c>
      <c r="X87" s="61" t="s">
        <v>124</v>
      </c>
      <c r="Y87" s="61" t="s">
        <v>137</v>
      </c>
      <c r="Z87" s="61" t="s">
        <v>140</v>
      </c>
      <c r="AA87" s="61" t="s">
        <v>140</v>
      </c>
      <c r="AB87" s="61" t="s">
        <v>140</v>
      </c>
      <c r="AC87" s="61" t="s">
        <v>140</v>
      </c>
      <c r="AD87" s="61" t="s">
        <v>124</v>
      </c>
      <c r="AE87" s="61" t="s">
        <v>137</v>
      </c>
    </row>
    <row r="88" spans="1:31" ht="60" x14ac:dyDescent="0.25">
      <c r="A88" s="11">
        <v>84</v>
      </c>
      <c r="B88" s="7" t="s">
        <v>80</v>
      </c>
      <c r="C88" s="2" t="s">
        <v>140</v>
      </c>
      <c r="D88" s="2" t="s">
        <v>140</v>
      </c>
      <c r="E88" s="7" t="s">
        <v>140</v>
      </c>
      <c r="F88" s="2" t="s">
        <v>140</v>
      </c>
      <c r="G88" s="2" t="s">
        <v>124</v>
      </c>
      <c r="H88" s="1" t="s">
        <v>134</v>
      </c>
      <c r="I88" s="1" t="str">
        <f>TEXT(tblData[[#This Row],[Tanggal Mulai]],"[$-id-ID]mmmm")</f>
        <v>Agustus</v>
      </c>
      <c r="J88" s="48">
        <v>46265</v>
      </c>
      <c r="K88" s="48">
        <v>46269</v>
      </c>
      <c r="L88" s="1" t="s">
        <v>137</v>
      </c>
      <c r="M88" s="1" t="s">
        <v>97</v>
      </c>
      <c r="N88" s="1" t="s">
        <v>140</v>
      </c>
      <c r="O88" s="1" t="s">
        <v>140</v>
      </c>
      <c r="P88" s="1" t="s">
        <v>140</v>
      </c>
      <c r="Q88" s="1" t="s">
        <v>140</v>
      </c>
      <c r="R88" s="1" t="s">
        <v>124</v>
      </c>
      <c r="S88" s="1" t="s">
        <v>137</v>
      </c>
      <c r="T88" s="1" t="s">
        <v>140</v>
      </c>
      <c r="U88" s="1" t="s">
        <v>140</v>
      </c>
      <c r="V88" s="1" t="s">
        <v>140</v>
      </c>
      <c r="W88" s="61" t="s">
        <v>140</v>
      </c>
      <c r="X88" s="61" t="s">
        <v>124</v>
      </c>
      <c r="Y88" s="61" t="s">
        <v>137</v>
      </c>
      <c r="Z88" s="61" t="s">
        <v>140</v>
      </c>
      <c r="AA88" s="61" t="s">
        <v>140</v>
      </c>
      <c r="AB88" s="61" t="s">
        <v>140</v>
      </c>
      <c r="AC88" s="61" t="s">
        <v>140</v>
      </c>
      <c r="AD88" s="61" t="s">
        <v>124</v>
      </c>
      <c r="AE88" s="61" t="s">
        <v>137</v>
      </c>
    </row>
    <row r="89" spans="1:31" ht="90" x14ac:dyDescent="0.25">
      <c r="A89" s="11">
        <v>85</v>
      </c>
      <c r="B89" s="2" t="s">
        <v>81</v>
      </c>
      <c r="C89" s="2" t="s">
        <v>107</v>
      </c>
      <c r="D89" s="2" t="s">
        <v>157</v>
      </c>
      <c r="E89" s="2" t="s">
        <v>144</v>
      </c>
      <c r="F89" s="2" t="s">
        <v>100</v>
      </c>
      <c r="G89" s="2" t="s">
        <v>125</v>
      </c>
      <c r="H89" s="1" t="s">
        <v>134</v>
      </c>
      <c r="I89" s="1" t="str">
        <f>TEXT(tblData[[#This Row],[Tanggal Mulai]],"[$-id-ID]mmmm")</f>
        <v>September</v>
      </c>
      <c r="J89" s="41">
        <v>46273</v>
      </c>
      <c r="K89" s="41">
        <v>46273</v>
      </c>
      <c r="L89" s="1" t="s">
        <v>137</v>
      </c>
      <c r="M89" s="1" t="s">
        <v>97</v>
      </c>
      <c r="N89" s="1" t="s">
        <v>107</v>
      </c>
      <c r="O89" s="1" t="s">
        <v>157</v>
      </c>
      <c r="P89" s="1" t="s">
        <v>144</v>
      </c>
      <c r="Q89" s="1" t="s">
        <v>100</v>
      </c>
      <c r="R89" s="1" t="s">
        <v>125</v>
      </c>
      <c r="S89" s="1" t="s">
        <v>137</v>
      </c>
      <c r="T89" s="1" t="s">
        <v>107</v>
      </c>
      <c r="U89" s="1" t="s">
        <v>157</v>
      </c>
      <c r="V89" s="1" t="s">
        <v>144</v>
      </c>
      <c r="W89" s="61" t="s">
        <v>100</v>
      </c>
      <c r="X89" s="61" t="s">
        <v>125</v>
      </c>
      <c r="Y89" s="61" t="s">
        <v>137</v>
      </c>
      <c r="Z89" s="61" t="s">
        <v>107</v>
      </c>
      <c r="AA89" s="61" t="s">
        <v>157</v>
      </c>
      <c r="AB89" s="61" t="s">
        <v>144</v>
      </c>
      <c r="AC89" s="61" t="s">
        <v>100</v>
      </c>
      <c r="AD89" s="61" t="s">
        <v>125</v>
      </c>
      <c r="AE89" s="61" t="s">
        <v>137</v>
      </c>
    </row>
    <row r="90" spans="1:31" ht="45" x14ac:dyDescent="0.25">
      <c r="A90" s="11">
        <v>86</v>
      </c>
      <c r="B90" s="7" t="s">
        <v>82</v>
      </c>
      <c r="C90" s="2" t="s">
        <v>140</v>
      </c>
      <c r="D90" s="2" t="s">
        <v>140</v>
      </c>
      <c r="E90" s="7" t="s">
        <v>140</v>
      </c>
      <c r="F90" s="2" t="s">
        <v>140</v>
      </c>
      <c r="G90" s="2" t="s">
        <v>124</v>
      </c>
      <c r="H90" s="1" t="s">
        <v>134</v>
      </c>
      <c r="I90" s="1" t="str">
        <f>TEXT(tblData[[#This Row],[Tanggal Mulai]],"[$-id-ID]mmmm")</f>
        <v>September</v>
      </c>
      <c r="J90" s="48">
        <v>46279</v>
      </c>
      <c r="K90" s="48">
        <v>46283</v>
      </c>
      <c r="L90" s="1" t="s">
        <v>136</v>
      </c>
      <c r="M90" s="1" t="s">
        <v>97</v>
      </c>
      <c r="N90" s="1" t="s">
        <v>140</v>
      </c>
      <c r="O90" s="1" t="s">
        <v>140</v>
      </c>
      <c r="P90" s="1" t="s">
        <v>140</v>
      </c>
      <c r="Q90" s="1" t="s">
        <v>140</v>
      </c>
      <c r="R90" s="1" t="s">
        <v>124</v>
      </c>
      <c r="S90" s="1" t="s">
        <v>136</v>
      </c>
      <c r="T90" s="1" t="s">
        <v>140</v>
      </c>
      <c r="U90" s="1" t="s">
        <v>140</v>
      </c>
      <c r="V90" s="1" t="s">
        <v>140</v>
      </c>
      <c r="W90" s="61" t="s">
        <v>140</v>
      </c>
      <c r="X90" s="61" t="s">
        <v>124</v>
      </c>
      <c r="Y90" s="61" t="s">
        <v>136</v>
      </c>
      <c r="Z90" s="61" t="s">
        <v>140</v>
      </c>
      <c r="AA90" s="61" t="s">
        <v>140</v>
      </c>
      <c r="AB90" s="61" t="s">
        <v>140</v>
      </c>
      <c r="AC90" s="61" t="s">
        <v>140</v>
      </c>
      <c r="AD90" s="61" t="s">
        <v>124</v>
      </c>
      <c r="AE90" s="61" t="s">
        <v>136</v>
      </c>
    </row>
    <row r="91" spans="1:31" ht="60" x14ac:dyDescent="0.25">
      <c r="A91" s="11">
        <v>87</v>
      </c>
      <c r="B91" s="7" t="s">
        <v>83</v>
      </c>
      <c r="C91" s="2" t="s">
        <v>140</v>
      </c>
      <c r="D91" s="2" t="s">
        <v>140</v>
      </c>
      <c r="E91" s="7" t="s">
        <v>140</v>
      </c>
      <c r="F91" s="2" t="s">
        <v>140</v>
      </c>
      <c r="G91" s="2" t="s">
        <v>124</v>
      </c>
      <c r="H91" s="1" t="s">
        <v>134</v>
      </c>
      <c r="I91" s="1" t="str">
        <f>TEXT(tblData[[#This Row],[Tanggal Mulai]],"[$-id-ID]mmmm")</f>
        <v>September</v>
      </c>
      <c r="J91" s="41">
        <v>46279</v>
      </c>
      <c r="K91" s="41">
        <v>46283</v>
      </c>
      <c r="L91" s="1" t="s">
        <v>137</v>
      </c>
      <c r="M91" s="1" t="s">
        <v>97</v>
      </c>
      <c r="N91" s="1" t="s">
        <v>140</v>
      </c>
      <c r="O91" s="1" t="s">
        <v>140</v>
      </c>
      <c r="P91" s="1" t="s">
        <v>140</v>
      </c>
      <c r="Q91" s="1" t="s">
        <v>140</v>
      </c>
      <c r="R91" s="1" t="s">
        <v>124</v>
      </c>
      <c r="S91" s="1" t="s">
        <v>137</v>
      </c>
      <c r="T91" s="1" t="s">
        <v>140</v>
      </c>
      <c r="U91" s="1" t="s">
        <v>140</v>
      </c>
      <c r="V91" s="1" t="s">
        <v>140</v>
      </c>
      <c r="W91" s="61" t="s">
        <v>140</v>
      </c>
      <c r="X91" s="61" t="s">
        <v>124</v>
      </c>
      <c r="Y91" s="61" t="s">
        <v>137</v>
      </c>
      <c r="Z91" s="61" t="s">
        <v>140</v>
      </c>
      <c r="AA91" s="61" t="s">
        <v>140</v>
      </c>
      <c r="AB91" s="61" t="s">
        <v>140</v>
      </c>
      <c r="AC91" s="61" t="s">
        <v>140</v>
      </c>
      <c r="AD91" s="61" t="s">
        <v>124</v>
      </c>
      <c r="AE91" s="61" t="s">
        <v>137</v>
      </c>
    </row>
    <row r="92" spans="1:31" ht="45" x14ac:dyDescent="0.25">
      <c r="A92" s="11">
        <v>88</v>
      </c>
      <c r="B92" s="7" t="s">
        <v>84</v>
      </c>
      <c r="C92" s="2" t="s">
        <v>140</v>
      </c>
      <c r="D92" s="2" t="s">
        <v>140</v>
      </c>
      <c r="E92" s="7" t="s">
        <v>140</v>
      </c>
      <c r="F92" s="2" t="s">
        <v>140</v>
      </c>
      <c r="G92" s="2" t="s">
        <v>124</v>
      </c>
      <c r="H92" s="1" t="s">
        <v>134</v>
      </c>
      <c r="I92" s="1" t="str">
        <f>TEXT(tblData[[#This Row],[Tanggal Mulai]],"[$-id-ID]mmmm")</f>
        <v>September</v>
      </c>
      <c r="J92" s="47">
        <v>46293</v>
      </c>
      <c r="K92" s="48">
        <v>46297</v>
      </c>
      <c r="L92" s="1" t="s">
        <v>136</v>
      </c>
      <c r="M92" s="1" t="s">
        <v>97</v>
      </c>
      <c r="N92" s="1" t="s">
        <v>140</v>
      </c>
      <c r="O92" s="1" t="s">
        <v>140</v>
      </c>
      <c r="P92" s="1" t="s">
        <v>140</v>
      </c>
      <c r="Q92" s="1" t="s">
        <v>140</v>
      </c>
      <c r="R92" s="1" t="s">
        <v>124</v>
      </c>
      <c r="S92" s="1" t="s">
        <v>136</v>
      </c>
      <c r="T92" s="1" t="s">
        <v>140</v>
      </c>
      <c r="U92" s="1" t="s">
        <v>140</v>
      </c>
      <c r="V92" s="1" t="s">
        <v>140</v>
      </c>
      <c r="W92" s="61" t="s">
        <v>140</v>
      </c>
      <c r="X92" s="61" t="s">
        <v>124</v>
      </c>
      <c r="Y92" s="61" t="s">
        <v>136</v>
      </c>
      <c r="Z92" s="61" t="s">
        <v>140</v>
      </c>
      <c r="AA92" s="61" t="s">
        <v>140</v>
      </c>
      <c r="AB92" s="61" t="s">
        <v>140</v>
      </c>
      <c r="AC92" s="61" t="s">
        <v>140</v>
      </c>
      <c r="AD92" s="61" t="s">
        <v>124</v>
      </c>
      <c r="AE92" s="61" t="s">
        <v>136</v>
      </c>
    </row>
    <row r="93" spans="1:31" ht="45" x14ac:dyDescent="0.25">
      <c r="A93" s="11">
        <v>89</v>
      </c>
      <c r="B93" s="7" t="s">
        <v>85</v>
      </c>
      <c r="C93" s="2" t="s">
        <v>140</v>
      </c>
      <c r="D93" s="2" t="s">
        <v>140</v>
      </c>
      <c r="E93" s="7" t="s">
        <v>140</v>
      </c>
      <c r="F93" s="2" t="s">
        <v>140</v>
      </c>
      <c r="G93" s="2" t="s">
        <v>124</v>
      </c>
      <c r="H93" s="1" t="s">
        <v>134</v>
      </c>
      <c r="I93" s="1" t="str">
        <f>TEXT(tblData[[#This Row],[Tanggal Mulai]],"[$-id-ID]mmmm")</f>
        <v>September</v>
      </c>
      <c r="J93" s="46">
        <v>46293</v>
      </c>
      <c r="K93" s="41">
        <v>46297</v>
      </c>
      <c r="L93" s="1" t="s">
        <v>136</v>
      </c>
      <c r="M93" s="1" t="s">
        <v>97</v>
      </c>
      <c r="N93" s="1" t="s">
        <v>140</v>
      </c>
      <c r="O93" s="1" t="s">
        <v>140</v>
      </c>
      <c r="P93" s="1" t="s">
        <v>140</v>
      </c>
      <c r="Q93" s="1" t="s">
        <v>140</v>
      </c>
      <c r="R93" s="1" t="s">
        <v>124</v>
      </c>
      <c r="S93" s="1" t="s">
        <v>136</v>
      </c>
      <c r="T93" s="1" t="s">
        <v>140</v>
      </c>
      <c r="U93" s="1" t="s">
        <v>140</v>
      </c>
      <c r="V93" s="1" t="s">
        <v>140</v>
      </c>
      <c r="W93" s="61" t="s">
        <v>140</v>
      </c>
      <c r="X93" s="61" t="s">
        <v>124</v>
      </c>
      <c r="Y93" s="61" t="s">
        <v>136</v>
      </c>
      <c r="Z93" s="61" t="s">
        <v>140</v>
      </c>
      <c r="AA93" s="61" t="s">
        <v>140</v>
      </c>
      <c r="AB93" s="61" t="s">
        <v>140</v>
      </c>
      <c r="AC93" s="61" t="s">
        <v>140</v>
      </c>
      <c r="AD93" s="61" t="s">
        <v>124</v>
      </c>
      <c r="AE93" s="61" t="s">
        <v>136</v>
      </c>
    </row>
    <row r="94" spans="1:31" ht="60" x14ac:dyDescent="0.25">
      <c r="A94" s="11">
        <v>90</v>
      </c>
      <c r="B94" s="7" t="s">
        <v>86</v>
      </c>
      <c r="C94" s="2" t="s">
        <v>140</v>
      </c>
      <c r="D94" s="2" t="s">
        <v>140</v>
      </c>
      <c r="E94" s="7" t="s">
        <v>140</v>
      </c>
      <c r="F94" s="2" t="s">
        <v>140</v>
      </c>
      <c r="G94" s="2" t="s">
        <v>124</v>
      </c>
      <c r="H94" s="1" t="s">
        <v>135</v>
      </c>
      <c r="I94" s="1" t="str">
        <f>TEXT(tblData[[#This Row],[Tanggal Mulai]],"[$-id-ID]mmmm")</f>
        <v>Oktober</v>
      </c>
      <c r="J94" s="48">
        <v>46300</v>
      </c>
      <c r="K94" s="48">
        <v>46311</v>
      </c>
      <c r="L94" s="1" t="s">
        <v>137</v>
      </c>
      <c r="M94" s="1" t="s">
        <v>97</v>
      </c>
      <c r="N94" s="1" t="s">
        <v>140</v>
      </c>
      <c r="O94" s="1" t="s">
        <v>140</v>
      </c>
      <c r="P94" s="61" t="s">
        <v>140</v>
      </c>
      <c r="Q94" s="1" t="s">
        <v>140</v>
      </c>
      <c r="R94" s="1" t="s">
        <v>124</v>
      </c>
      <c r="S94" s="1" t="s">
        <v>137</v>
      </c>
      <c r="T94" s="1" t="s">
        <v>140</v>
      </c>
      <c r="U94" s="1" t="s">
        <v>140</v>
      </c>
      <c r="V94" s="1" t="s">
        <v>140</v>
      </c>
      <c r="W94" s="61" t="s">
        <v>140</v>
      </c>
      <c r="X94" s="61" t="s">
        <v>124</v>
      </c>
      <c r="Y94" s="61" t="s">
        <v>137</v>
      </c>
      <c r="Z94" s="61" t="s">
        <v>140</v>
      </c>
      <c r="AA94" s="61" t="s">
        <v>140</v>
      </c>
      <c r="AB94" s="61" t="s">
        <v>140</v>
      </c>
      <c r="AC94" s="61" t="s">
        <v>140</v>
      </c>
      <c r="AD94" s="61" t="s">
        <v>124</v>
      </c>
      <c r="AE94" s="61" t="s">
        <v>137</v>
      </c>
    </row>
    <row r="95" spans="1:31" ht="60" x14ac:dyDescent="0.25">
      <c r="A95" s="11">
        <v>91</v>
      </c>
      <c r="B95" s="7" t="s">
        <v>87</v>
      </c>
      <c r="C95" s="2" t="s">
        <v>140</v>
      </c>
      <c r="D95" s="2" t="s">
        <v>140</v>
      </c>
      <c r="E95" s="7" t="s">
        <v>140</v>
      </c>
      <c r="F95" s="2" t="s">
        <v>140</v>
      </c>
      <c r="G95" s="2" t="s">
        <v>124</v>
      </c>
      <c r="H95" s="1" t="s">
        <v>135</v>
      </c>
      <c r="I95" s="1" t="str">
        <f>TEXT(tblData[[#This Row],[Tanggal Mulai]],"[$-id-ID]mmmm")</f>
        <v>Oktober</v>
      </c>
      <c r="J95" s="41">
        <v>46321</v>
      </c>
      <c r="K95" s="41">
        <v>46325</v>
      </c>
      <c r="L95" s="1" t="s">
        <v>137</v>
      </c>
      <c r="M95" s="1" t="s">
        <v>97</v>
      </c>
      <c r="N95" s="1" t="s">
        <v>140</v>
      </c>
      <c r="O95" s="1" t="s">
        <v>140</v>
      </c>
      <c r="P95" s="1" t="s">
        <v>140</v>
      </c>
      <c r="Q95" s="1" t="s">
        <v>140</v>
      </c>
      <c r="R95" s="61" t="s">
        <v>124</v>
      </c>
      <c r="S95" s="1" t="s">
        <v>137</v>
      </c>
      <c r="T95" s="1" t="s">
        <v>140</v>
      </c>
      <c r="U95" s="1" t="s">
        <v>140</v>
      </c>
      <c r="V95" s="1" t="s">
        <v>140</v>
      </c>
      <c r="W95" s="61" t="s">
        <v>140</v>
      </c>
      <c r="X95" s="61" t="s">
        <v>124</v>
      </c>
      <c r="Y95" s="61" t="s">
        <v>137</v>
      </c>
      <c r="Z95" s="61" t="s">
        <v>140</v>
      </c>
      <c r="AA95" s="61" t="s">
        <v>140</v>
      </c>
      <c r="AB95" s="61" t="s">
        <v>140</v>
      </c>
      <c r="AC95" s="61" t="s">
        <v>140</v>
      </c>
      <c r="AD95" s="61" t="s">
        <v>124</v>
      </c>
      <c r="AE95" s="61" t="s">
        <v>137</v>
      </c>
    </row>
    <row r="96" spans="1:31" ht="60" x14ac:dyDescent="0.25">
      <c r="A96" s="11">
        <v>92</v>
      </c>
      <c r="B96" s="7" t="s">
        <v>88</v>
      </c>
      <c r="C96" s="7" t="s">
        <v>154</v>
      </c>
      <c r="D96" s="2" t="s">
        <v>157</v>
      </c>
      <c r="E96" s="7" t="s">
        <v>146</v>
      </c>
      <c r="F96" s="2" t="s">
        <v>103</v>
      </c>
      <c r="G96" s="2" t="s">
        <v>124</v>
      </c>
      <c r="H96" s="1" t="s">
        <v>135</v>
      </c>
      <c r="I96" s="1" t="str">
        <f>TEXT(tblData[[#This Row],[Tanggal Mulai]],"[$-id-ID]mmmm")</f>
        <v>November</v>
      </c>
      <c r="J96" s="48">
        <v>46329</v>
      </c>
      <c r="K96" s="48">
        <v>46332</v>
      </c>
      <c r="L96" s="1" t="s">
        <v>137</v>
      </c>
      <c r="M96" s="1" t="s">
        <v>97</v>
      </c>
      <c r="N96" s="1" t="s">
        <v>154</v>
      </c>
      <c r="O96" s="1" t="s">
        <v>157</v>
      </c>
      <c r="P96" s="1" t="s">
        <v>146</v>
      </c>
      <c r="Q96" s="1" t="s">
        <v>140</v>
      </c>
      <c r="R96" s="1" t="s">
        <v>124</v>
      </c>
      <c r="S96" s="61" t="s">
        <v>137</v>
      </c>
      <c r="T96" s="1" t="s">
        <v>154</v>
      </c>
      <c r="U96" s="1" t="s">
        <v>157</v>
      </c>
      <c r="V96" s="1" t="s">
        <v>146</v>
      </c>
      <c r="W96" s="61" t="s">
        <v>140</v>
      </c>
      <c r="X96" s="61" t="s">
        <v>124</v>
      </c>
      <c r="Y96" s="61" t="s">
        <v>137</v>
      </c>
      <c r="Z96" s="61" t="s">
        <v>154</v>
      </c>
      <c r="AA96" s="61" t="s">
        <v>157</v>
      </c>
      <c r="AB96" s="61" t="s">
        <v>146</v>
      </c>
      <c r="AC96" s="61" t="s">
        <v>140</v>
      </c>
      <c r="AD96" s="61" t="s">
        <v>124</v>
      </c>
      <c r="AE96" s="61" t="s">
        <v>137</v>
      </c>
    </row>
    <row r="97" spans="1:31" ht="45" x14ac:dyDescent="0.25">
      <c r="A97" s="11">
        <v>93</v>
      </c>
      <c r="B97" s="7" t="s">
        <v>89</v>
      </c>
      <c r="C97" s="7" t="s">
        <v>153</v>
      </c>
      <c r="D97" s="2" t="s">
        <v>158</v>
      </c>
      <c r="E97" s="7" t="s">
        <v>146</v>
      </c>
      <c r="F97" s="2" t="s">
        <v>152</v>
      </c>
      <c r="G97" s="2" t="s">
        <v>124</v>
      </c>
      <c r="H97" s="1" t="s">
        <v>135</v>
      </c>
      <c r="I97" s="1" t="str">
        <f>TEXT(tblData[[#This Row],[Tanggal Mulai]],"[$-id-ID]mmmm")</f>
        <v>November</v>
      </c>
      <c r="J97" s="41">
        <v>46336</v>
      </c>
      <c r="K97" s="41">
        <v>46339</v>
      </c>
      <c r="L97" s="1" t="s">
        <v>136</v>
      </c>
      <c r="M97" s="1" t="s">
        <v>97</v>
      </c>
      <c r="N97" s="1" t="s">
        <v>153</v>
      </c>
      <c r="O97" s="1" t="s">
        <v>158</v>
      </c>
      <c r="P97" s="1" t="s">
        <v>146</v>
      </c>
      <c r="Q97" s="1" t="s">
        <v>152</v>
      </c>
      <c r="R97" s="1" t="s">
        <v>124</v>
      </c>
      <c r="S97" s="1" t="s">
        <v>136</v>
      </c>
      <c r="T97" s="61" t="s">
        <v>153</v>
      </c>
      <c r="U97" s="1" t="s">
        <v>158</v>
      </c>
      <c r="V97" s="1" t="s">
        <v>146</v>
      </c>
      <c r="W97" s="61" t="s">
        <v>152</v>
      </c>
      <c r="X97" s="61" t="s">
        <v>124</v>
      </c>
      <c r="Y97" s="61" t="s">
        <v>136</v>
      </c>
      <c r="Z97" s="61" t="s">
        <v>153</v>
      </c>
      <c r="AA97" s="61" t="s">
        <v>158</v>
      </c>
      <c r="AB97" s="61" t="s">
        <v>146</v>
      </c>
      <c r="AC97" s="61" t="s">
        <v>152</v>
      </c>
      <c r="AD97" s="61" t="s">
        <v>124</v>
      </c>
      <c r="AE97" s="61" t="s">
        <v>136</v>
      </c>
    </row>
    <row r="98" spans="1:31" ht="90" x14ac:dyDescent="0.25">
      <c r="A98" s="16">
        <v>94</v>
      </c>
      <c r="B98" s="17" t="s">
        <v>90</v>
      </c>
      <c r="C98" s="17" t="s">
        <v>107</v>
      </c>
      <c r="D98" s="2" t="s">
        <v>157</v>
      </c>
      <c r="E98" s="17" t="s">
        <v>144</v>
      </c>
      <c r="F98" s="17" t="s">
        <v>100</v>
      </c>
      <c r="G98" s="17" t="s">
        <v>125</v>
      </c>
      <c r="H98" s="18" t="s">
        <v>135</v>
      </c>
      <c r="I98" s="1" t="str">
        <f>TEXT(tblData[[#This Row],[Tanggal Mulai]],"[$-id-ID]mmmm")</f>
        <v>November</v>
      </c>
      <c r="J98" s="55">
        <v>46344</v>
      </c>
      <c r="K98" s="55">
        <v>46344</v>
      </c>
      <c r="L98" s="18" t="s">
        <v>136</v>
      </c>
      <c r="M98" s="18" t="s">
        <v>97</v>
      </c>
      <c r="N98" s="1" t="s">
        <v>107</v>
      </c>
      <c r="O98" s="1" t="s">
        <v>157</v>
      </c>
      <c r="P98" s="1" t="s">
        <v>144</v>
      </c>
      <c r="Q98" s="1" t="s">
        <v>100</v>
      </c>
      <c r="R98" s="1" t="s">
        <v>125</v>
      </c>
      <c r="S98" s="1" t="s">
        <v>136</v>
      </c>
      <c r="T98" s="61" t="s">
        <v>107</v>
      </c>
      <c r="U98" s="1" t="s">
        <v>157</v>
      </c>
      <c r="V98" s="1" t="s">
        <v>144</v>
      </c>
      <c r="W98" s="61" t="s">
        <v>100</v>
      </c>
      <c r="X98" s="61" t="s">
        <v>125</v>
      </c>
      <c r="Y98" s="61" t="s">
        <v>136</v>
      </c>
      <c r="Z98" s="61" t="s">
        <v>107</v>
      </c>
      <c r="AA98" s="61" t="s">
        <v>157</v>
      </c>
      <c r="AB98" s="61" t="s">
        <v>144</v>
      </c>
      <c r="AC98" s="61" t="s">
        <v>100</v>
      </c>
      <c r="AD98" s="61" t="s">
        <v>125</v>
      </c>
      <c r="AE98" s="61" t="s">
        <v>136</v>
      </c>
    </row>
    <row r="101" spans="1:31" x14ac:dyDescent="0.25">
      <c r="H101" s="1"/>
    </row>
  </sheetData>
  <mergeCells count="1">
    <mergeCell ref="A1:H3"/>
  </mergeCells>
  <phoneticPr fontId="6" type="noConversion"/>
  <conditionalFormatting sqref="M5:M98 L34:L35 L41">
    <cfRule type="containsText" dxfId="38" priority="6" operator="containsText" text="Urgent">
      <formula>NOT(ISERROR(SEARCH("Urgent",L5)))</formula>
    </cfRule>
    <cfRule type="containsText" dxfId="37" priority="7" operator="containsText" text="Overdue">
      <formula>NOT(ISERROR(SEARCH("Overdue",L5)))</formula>
    </cfRule>
    <cfRule type="containsText" dxfId="36" priority="8" operator="containsText" text="Selesai">
      <formula>NOT(ISERROR(SEARCH("Selesai",L5)))</formula>
    </cfRule>
    <cfRule type="containsText" dxfId="35" priority="9" operator="containsText" text="On Progress">
      <formula>NOT(ISERROR(SEARCH("On Progress",L5)))</formula>
    </cfRule>
    <cfRule type="containsText" dxfId="34" priority="10" operator="containsText" text="Belum Mulai">
      <formula>NOT(ISERROR(SEARCH("Belum Mulai",L5)))</formula>
    </cfRule>
  </conditionalFormatting>
  <dataValidations count="8">
    <dataValidation type="list" allowBlank="1" showInputMessage="1" showErrorMessage="1" sqref="F5:F98" xr:uid="{642D89D0-37ED-4D01-94C1-91CF6EE092EE}">
      <formula1>"Bank Umum,BPR,BPRS,LKMS,Modal Ventura,Perusahaan Pegadaian,Manajer Investasi,Dana Pensiun,APERD,Perusahaan Efek,PPE Ebus,Lainnya"</formula1>
    </dataValidation>
    <dataValidation type="list" allowBlank="1" showInputMessage="1" showErrorMessage="1" sqref="H5:H9 H58:H82 H11:H33 H42:H56 H36:H40 H86:H98 H84" xr:uid="{7441E037-9D56-4C8C-A751-A47796F62101}">
      <formula1>"Q1,Q2,Q3,Q4"</formula1>
    </dataValidation>
    <dataValidation type="list" allowBlank="1" showInputMessage="1" showErrorMessage="1" sqref="M5:M9 M11:M33 M36:M40 M42:M56 M58:M82 M84 M86:M98" xr:uid="{438B1537-451E-4751-BA9F-03483275F20C}">
      <formula1>"Selesai,On Progress,Belum Mulai,Overdue,Urgent"</formula1>
    </dataValidation>
    <dataValidation type="list" allowBlank="1" showInputMessage="1" showErrorMessage="1" sqref="G5:G8" xr:uid="{E63DFA10-A902-484A-AB0B-2BBB42C4455E}">
      <formula1>"Pemeriksaan Umum,Prudential Meeting,KYBFI,Monitoring,Approval,Penyusunan TKS,Penyusunan RBBR,Penyusunan LHP,Evaluasi Kinerja"</formula1>
    </dataValidation>
    <dataValidation type="list" allowBlank="1" showInputMessage="1" showErrorMessage="1" sqref="G9:G98" xr:uid="{2C040A4C-3A5C-4478-AF70-FD43BF5E8F1E}">
      <formula1>"Pemeriksaan Umum,Prudential Meeting,KYBFI,Monitoring,Approval,Pengerjaan TKS,Penyusunan RBBR,Penyusunan LHP,Evaluasi Kinerja"</formula1>
    </dataValidation>
    <dataValidation type="list" allowBlank="1" showInputMessage="1" showErrorMessage="1" sqref="E5:E98" xr:uid="{FE20F531-F078-4419-B8E3-9D5741AA86F2}">
      <formula1>"Perbankan,PVML,PPDP,Lainnya"</formula1>
    </dataValidation>
    <dataValidation type="list" allowBlank="1" showInputMessage="1" showErrorMessage="1" sqref="L5:L98" xr:uid="{78D1BCC2-1FF1-4622-B8BD-4811584BF309}">
      <formula1>"Kirbani, Satrio Aji Nugroho"</formula1>
    </dataValidation>
    <dataValidation type="list" allowBlank="1" showInputMessage="1" showErrorMessage="1" sqref="D5:D98" xr:uid="{C6972E9B-DB03-4B1D-944A-7CDA77A0BADD}">
      <formula1>"Kota Banjarmasin, Kota Banjarbaru, Kab. Hulu Sungai Utara, Kab. Hulu Sungai Selatan, Kab. Hulu Sungai Tengah, Kab. Banjar, Kab. Tapin, Kab. Kotabaru, Kab. Tanah Laut, Kab. Batulicin, Kab. Balangan, Kab. Tabalong, Kab. Tanah Bumbu, Lainnya"</formula1>
    </dataValidation>
  </dataValidations>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C0C28-5337-4DFA-8631-EE395E90E76C}">
  <sheetPr codeName="Sheet4"/>
  <dimension ref="A2:N143"/>
  <sheetViews>
    <sheetView zoomScale="44" zoomScaleNormal="100" workbookViewId="0">
      <selection activeCell="K7" sqref="K7"/>
    </sheetView>
  </sheetViews>
  <sheetFormatPr defaultRowHeight="15" x14ac:dyDescent="0.25"/>
  <cols>
    <col min="1" max="1" width="20.28515625" bestFit="1" customWidth="1"/>
    <col min="2" max="2" width="21.28515625" bestFit="1" customWidth="1"/>
    <col min="3" max="3" width="16" bestFit="1" customWidth="1"/>
    <col min="4" max="4" width="19.28515625" bestFit="1" customWidth="1"/>
    <col min="5" max="5" width="32" bestFit="1" customWidth="1"/>
    <col min="6" max="6" width="29.7109375" bestFit="1" customWidth="1"/>
    <col min="7" max="8" width="19" bestFit="1" customWidth="1"/>
    <col min="9" max="9" width="20.85546875" bestFit="1" customWidth="1"/>
    <col min="10" max="10" width="14.7109375" bestFit="1" customWidth="1"/>
    <col min="11" max="11" width="21.5703125" bestFit="1" customWidth="1"/>
    <col min="12" max="12" width="23.140625" bestFit="1" customWidth="1"/>
    <col min="13" max="13" width="10.85546875" bestFit="1" customWidth="1"/>
    <col min="14" max="14" width="16" bestFit="1" customWidth="1"/>
    <col min="15" max="15" width="17.7109375" bestFit="1" customWidth="1"/>
  </cols>
  <sheetData>
    <row r="2" spans="1:2" ht="15.75" x14ac:dyDescent="0.25">
      <c r="A2" s="65" t="s">
        <v>172</v>
      </c>
    </row>
    <row r="3" spans="1:2" x14ac:dyDescent="0.25">
      <c r="A3" s="59" t="s">
        <v>173</v>
      </c>
      <c r="B3" t="s">
        <v>198</v>
      </c>
    </row>
    <row r="4" spans="1:2" x14ac:dyDescent="0.25">
      <c r="A4" s="60" t="s">
        <v>174</v>
      </c>
      <c r="B4" s="71">
        <v>22</v>
      </c>
    </row>
    <row r="5" spans="1:2" x14ac:dyDescent="0.25">
      <c r="A5" s="60" t="s">
        <v>175</v>
      </c>
      <c r="B5" s="71">
        <v>8</v>
      </c>
    </row>
    <row r="6" spans="1:2" x14ac:dyDescent="0.25">
      <c r="A6" s="60" t="s">
        <v>176</v>
      </c>
      <c r="B6" s="71">
        <v>3</v>
      </c>
    </row>
    <row r="7" spans="1:2" x14ac:dyDescent="0.25">
      <c r="A7" s="60" t="s">
        <v>177</v>
      </c>
      <c r="B7" s="71">
        <v>8</v>
      </c>
    </row>
    <row r="8" spans="1:2" x14ac:dyDescent="0.25">
      <c r="A8" s="60" t="s">
        <v>178</v>
      </c>
      <c r="B8" s="71">
        <v>7</v>
      </c>
    </row>
    <row r="9" spans="1:2" x14ac:dyDescent="0.25">
      <c r="A9" s="60" t="s">
        <v>179</v>
      </c>
      <c r="B9" s="71">
        <v>10</v>
      </c>
    </row>
    <row r="10" spans="1:2" x14ac:dyDescent="0.25">
      <c r="A10" s="60" t="s">
        <v>180</v>
      </c>
      <c r="B10" s="71">
        <v>8</v>
      </c>
    </row>
    <row r="11" spans="1:2" x14ac:dyDescent="0.25">
      <c r="A11" s="60" t="s">
        <v>181</v>
      </c>
      <c r="B11" s="71">
        <v>10</v>
      </c>
    </row>
    <row r="12" spans="1:2" x14ac:dyDescent="0.25">
      <c r="A12" s="60" t="s">
        <v>182</v>
      </c>
      <c r="B12" s="71">
        <v>5</v>
      </c>
    </row>
    <row r="13" spans="1:2" x14ac:dyDescent="0.25">
      <c r="A13" s="60" t="s">
        <v>183</v>
      </c>
      <c r="B13" s="71">
        <v>2</v>
      </c>
    </row>
    <row r="14" spans="1:2" x14ac:dyDescent="0.25">
      <c r="A14" s="60" t="s">
        <v>184</v>
      </c>
      <c r="B14" s="71">
        <v>3</v>
      </c>
    </row>
    <row r="15" spans="1:2" x14ac:dyDescent="0.25">
      <c r="A15" s="60" t="s">
        <v>185</v>
      </c>
      <c r="B15" s="71">
        <v>86</v>
      </c>
    </row>
    <row r="18" spans="1:11" ht="15.75" x14ac:dyDescent="0.25">
      <c r="A18" s="65" t="s">
        <v>186</v>
      </c>
    </row>
    <row r="19" spans="1:11" x14ac:dyDescent="0.25">
      <c r="A19" s="59" t="s">
        <v>200</v>
      </c>
      <c r="B19" s="59" t="s">
        <v>199</v>
      </c>
    </row>
    <row r="20" spans="1:11" x14ac:dyDescent="0.25">
      <c r="A20" s="59" t="s">
        <v>173</v>
      </c>
      <c r="B20" t="s">
        <v>140</v>
      </c>
      <c r="C20" t="s">
        <v>153</v>
      </c>
      <c r="D20" t="s">
        <v>107</v>
      </c>
      <c r="E20" t="s">
        <v>8</v>
      </c>
      <c r="F20" t="s">
        <v>18</v>
      </c>
      <c r="G20" t="s">
        <v>20</v>
      </c>
      <c r="H20" t="s">
        <v>155</v>
      </c>
      <c r="I20" t="s">
        <v>154</v>
      </c>
      <c r="J20" t="s">
        <v>149</v>
      </c>
      <c r="K20" t="s">
        <v>185</v>
      </c>
    </row>
    <row r="21" spans="1:11" x14ac:dyDescent="0.25">
      <c r="A21" s="60" t="s">
        <v>174</v>
      </c>
      <c r="B21" s="71">
        <v>15</v>
      </c>
      <c r="C21" s="71"/>
      <c r="D21" s="71">
        <v>3</v>
      </c>
      <c r="E21" s="71">
        <v>1</v>
      </c>
      <c r="F21" s="71">
        <v>1</v>
      </c>
      <c r="G21" s="71">
        <v>1</v>
      </c>
      <c r="H21" s="71"/>
      <c r="I21" s="71"/>
      <c r="J21" s="71">
        <v>1</v>
      </c>
      <c r="K21" s="71">
        <v>22</v>
      </c>
    </row>
    <row r="22" spans="1:11" x14ac:dyDescent="0.25">
      <c r="A22" s="60" t="s">
        <v>175</v>
      </c>
      <c r="B22" s="71">
        <v>2</v>
      </c>
      <c r="C22" s="71"/>
      <c r="D22" s="71">
        <v>3</v>
      </c>
      <c r="E22" s="71"/>
      <c r="F22" s="71"/>
      <c r="G22" s="71"/>
      <c r="H22" s="71"/>
      <c r="I22" s="71"/>
      <c r="J22" s="71"/>
      <c r="K22" s="71">
        <v>5</v>
      </c>
    </row>
    <row r="23" spans="1:11" x14ac:dyDescent="0.25">
      <c r="A23" s="60" t="s">
        <v>176</v>
      </c>
      <c r="B23" s="71">
        <v>3</v>
      </c>
      <c r="C23" s="71"/>
      <c r="D23" s="71"/>
      <c r="E23" s="71"/>
      <c r="F23" s="71"/>
      <c r="G23" s="71"/>
      <c r="H23" s="71"/>
      <c r="I23" s="71"/>
      <c r="J23" s="71"/>
      <c r="K23" s="71">
        <v>3</v>
      </c>
    </row>
    <row r="24" spans="1:11" x14ac:dyDescent="0.25">
      <c r="A24" s="60" t="s">
        <v>177</v>
      </c>
      <c r="B24" s="71">
        <v>7</v>
      </c>
      <c r="C24" s="71"/>
      <c r="D24" s="71"/>
      <c r="E24" s="71">
        <v>1</v>
      </c>
      <c r="F24" s="71"/>
      <c r="G24" s="71"/>
      <c r="H24" s="71"/>
      <c r="I24" s="71"/>
      <c r="J24" s="71"/>
      <c r="K24" s="71">
        <v>8</v>
      </c>
    </row>
    <row r="25" spans="1:11" x14ac:dyDescent="0.25">
      <c r="A25" s="60" t="s">
        <v>178</v>
      </c>
      <c r="B25" s="71">
        <v>3</v>
      </c>
      <c r="C25" s="71"/>
      <c r="D25" s="71">
        <v>1</v>
      </c>
      <c r="E25" s="71">
        <v>1</v>
      </c>
      <c r="F25" s="71"/>
      <c r="G25" s="71">
        <v>2</v>
      </c>
      <c r="H25" s="71"/>
      <c r="I25" s="71"/>
      <c r="J25" s="71"/>
      <c r="K25" s="71">
        <v>7</v>
      </c>
    </row>
    <row r="26" spans="1:11" x14ac:dyDescent="0.25">
      <c r="A26" s="60" t="s">
        <v>179</v>
      </c>
      <c r="B26" s="71">
        <v>6</v>
      </c>
      <c r="C26" s="71"/>
      <c r="D26" s="71">
        <v>1</v>
      </c>
      <c r="E26" s="71"/>
      <c r="F26" s="71"/>
      <c r="G26" s="71"/>
      <c r="H26" s="71">
        <v>2</v>
      </c>
      <c r="I26" s="71"/>
      <c r="J26" s="71">
        <v>1</v>
      </c>
      <c r="K26" s="71">
        <v>10</v>
      </c>
    </row>
    <row r="27" spans="1:11" x14ac:dyDescent="0.25">
      <c r="A27" s="60" t="s">
        <v>180</v>
      </c>
      <c r="B27" s="71">
        <v>6</v>
      </c>
      <c r="C27" s="71"/>
      <c r="D27" s="71">
        <v>2</v>
      </c>
      <c r="E27" s="71"/>
      <c r="F27" s="71"/>
      <c r="G27" s="71"/>
      <c r="H27" s="71"/>
      <c r="I27" s="71"/>
      <c r="J27" s="71"/>
      <c r="K27" s="71">
        <v>8</v>
      </c>
    </row>
    <row r="28" spans="1:11" x14ac:dyDescent="0.25">
      <c r="A28" s="60" t="s">
        <v>181</v>
      </c>
      <c r="B28" s="71">
        <v>8</v>
      </c>
      <c r="C28" s="71"/>
      <c r="D28" s="71">
        <v>2</v>
      </c>
      <c r="E28" s="71"/>
      <c r="F28" s="71"/>
      <c r="G28" s="71"/>
      <c r="H28" s="71"/>
      <c r="I28" s="71"/>
      <c r="J28" s="71"/>
      <c r="K28" s="71">
        <v>10</v>
      </c>
    </row>
    <row r="29" spans="1:11" x14ac:dyDescent="0.25">
      <c r="A29" s="60" t="s">
        <v>182</v>
      </c>
      <c r="B29" s="71">
        <v>4</v>
      </c>
      <c r="C29" s="71"/>
      <c r="D29" s="71">
        <v>1</v>
      </c>
      <c r="E29" s="71"/>
      <c r="F29" s="71"/>
      <c r="G29" s="71"/>
      <c r="H29" s="71"/>
      <c r="I29" s="71"/>
      <c r="J29" s="71"/>
      <c r="K29" s="71">
        <v>5</v>
      </c>
    </row>
    <row r="30" spans="1:11" x14ac:dyDescent="0.25">
      <c r="A30" s="60" t="s">
        <v>183</v>
      </c>
      <c r="B30" s="71">
        <v>2</v>
      </c>
      <c r="C30" s="71"/>
      <c r="D30" s="71"/>
      <c r="E30" s="71"/>
      <c r="F30" s="71"/>
      <c r="G30" s="71"/>
      <c r="H30" s="71"/>
      <c r="I30" s="71"/>
      <c r="J30" s="71"/>
      <c r="K30" s="71">
        <v>2</v>
      </c>
    </row>
    <row r="31" spans="1:11" x14ac:dyDescent="0.25">
      <c r="A31" s="60" t="s">
        <v>184</v>
      </c>
      <c r="B31" s="71"/>
      <c r="C31" s="71">
        <v>1</v>
      </c>
      <c r="D31" s="71">
        <v>1</v>
      </c>
      <c r="E31" s="71"/>
      <c r="F31" s="71"/>
      <c r="G31" s="71"/>
      <c r="H31" s="71"/>
      <c r="I31" s="71">
        <v>1</v>
      </c>
      <c r="J31" s="71"/>
      <c r="K31" s="71">
        <v>3</v>
      </c>
    </row>
    <row r="32" spans="1:11" x14ac:dyDescent="0.25">
      <c r="A32" s="60" t="s">
        <v>185</v>
      </c>
      <c r="B32" s="71">
        <v>56</v>
      </c>
      <c r="C32" s="71">
        <v>1</v>
      </c>
      <c r="D32" s="71">
        <v>14</v>
      </c>
      <c r="E32" s="71">
        <v>3</v>
      </c>
      <c r="F32" s="71">
        <v>1</v>
      </c>
      <c r="G32" s="71">
        <v>3</v>
      </c>
      <c r="H32" s="71">
        <v>2</v>
      </c>
      <c r="I32" s="71">
        <v>1</v>
      </c>
      <c r="J32" s="71">
        <v>2</v>
      </c>
      <c r="K32" s="71">
        <v>83</v>
      </c>
    </row>
    <row r="35" spans="1:14" ht="15.75" x14ac:dyDescent="0.25">
      <c r="A35" s="65" t="s">
        <v>201</v>
      </c>
    </row>
    <row r="36" spans="1:14" x14ac:dyDescent="0.25">
      <c r="A36" s="59" t="s">
        <v>202</v>
      </c>
      <c r="B36" s="59" t="s">
        <v>199</v>
      </c>
    </row>
    <row r="37" spans="1:14" x14ac:dyDescent="0.25">
      <c r="A37" s="59" t="s">
        <v>173</v>
      </c>
      <c r="B37" t="s">
        <v>164</v>
      </c>
      <c r="C37" t="s">
        <v>161</v>
      </c>
      <c r="D37" t="s">
        <v>163</v>
      </c>
      <c r="E37" t="s">
        <v>160</v>
      </c>
      <c r="F37" t="s">
        <v>166</v>
      </c>
      <c r="G37" t="s">
        <v>162</v>
      </c>
      <c r="H37" t="s">
        <v>165</v>
      </c>
      <c r="I37" t="s">
        <v>159</v>
      </c>
      <c r="J37" t="s">
        <v>167</v>
      </c>
      <c r="K37" t="s">
        <v>158</v>
      </c>
      <c r="L37" t="s">
        <v>157</v>
      </c>
      <c r="M37" t="s">
        <v>140</v>
      </c>
      <c r="N37" t="s">
        <v>185</v>
      </c>
    </row>
    <row r="38" spans="1:14" x14ac:dyDescent="0.25">
      <c r="A38" s="60" t="s">
        <v>174</v>
      </c>
      <c r="B38" s="71">
        <v>1</v>
      </c>
      <c r="C38" s="71">
        <v>4</v>
      </c>
      <c r="D38" s="71">
        <v>1</v>
      </c>
      <c r="E38" s="71">
        <v>1</v>
      </c>
      <c r="F38" s="71">
        <v>1</v>
      </c>
      <c r="G38" s="71">
        <v>1</v>
      </c>
      <c r="H38" s="71">
        <v>1</v>
      </c>
      <c r="I38" s="71">
        <v>1</v>
      </c>
      <c r="J38" s="71">
        <v>1</v>
      </c>
      <c r="K38" s="71">
        <v>2</v>
      </c>
      <c r="L38" s="71">
        <v>6</v>
      </c>
      <c r="M38" s="71">
        <v>1</v>
      </c>
      <c r="N38" s="71">
        <v>21</v>
      </c>
    </row>
    <row r="39" spans="1:14" x14ac:dyDescent="0.25">
      <c r="A39" s="60" t="s">
        <v>175</v>
      </c>
      <c r="B39" s="71"/>
      <c r="C39" s="71">
        <v>2</v>
      </c>
      <c r="D39" s="71"/>
      <c r="E39" s="71"/>
      <c r="F39" s="71"/>
      <c r="G39" s="71"/>
      <c r="H39" s="71"/>
      <c r="I39" s="71"/>
      <c r="J39" s="71"/>
      <c r="K39" s="71"/>
      <c r="L39" s="71">
        <v>3</v>
      </c>
      <c r="M39" s="71">
        <v>2</v>
      </c>
      <c r="N39" s="71">
        <v>7</v>
      </c>
    </row>
    <row r="40" spans="1:14" x14ac:dyDescent="0.25">
      <c r="A40" s="60" t="s">
        <v>176</v>
      </c>
      <c r="B40" s="71"/>
      <c r="C40" s="71">
        <v>1</v>
      </c>
      <c r="D40" s="71">
        <v>1</v>
      </c>
      <c r="E40" s="71"/>
      <c r="F40" s="71"/>
      <c r="G40" s="71"/>
      <c r="H40" s="71"/>
      <c r="I40" s="71"/>
      <c r="J40" s="71"/>
      <c r="K40" s="71"/>
      <c r="L40" s="71">
        <v>1</v>
      </c>
      <c r="M40" s="71"/>
      <c r="N40" s="71">
        <v>3</v>
      </c>
    </row>
    <row r="41" spans="1:14" x14ac:dyDescent="0.25">
      <c r="A41" s="60" t="s">
        <v>177</v>
      </c>
      <c r="B41" s="71"/>
      <c r="C41" s="71"/>
      <c r="D41" s="71"/>
      <c r="E41" s="71"/>
      <c r="F41" s="71"/>
      <c r="G41" s="71">
        <v>1</v>
      </c>
      <c r="H41" s="71"/>
      <c r="I41" s="71">
        <v>1</v>
      </c>
      <c r="J41" s="71">
        <v>2</v>
      </c>
      <c r="K41" s="71">
        <v>1</v>
      </c>
      <c r="L41" s="71">
        <v>1</v>
      </c>
      <c r="M41" s="71">
        <v>1</v>
      </c>
      <c r="N41" s="71">
        <v>7</v>
      </c>
    </row>
    <row r="42" spans="1:14" x14ac:dyDescent="0.25">
      <c r="A42" s="60" t="s">
        <v>178</v>
      </c>
      <c r="B42" s="71">
        <v>1</v>
      </c>
      <c r="C42" s="71">
        <v>2</v>
      </c>
      <c r="D42" s="71"/>
      <c r="E42" s="71"/>
      <c r="F42" s="71"/>
      <c r="G42" s="71"/>
      <c r="H42" s="71">
        <v>2</v>
      </c>
      <c r="I42" s="71"/>
      <c r="J42" s="71"/>
      <c r="K42" s="71">
        <v>1</v>
      </c>
      <c r="L42" s="71">
        <v>1</v>
      </c>
      <c r="M42" s="71"/>
      <c r="N42" s="71">
        <v>7</v>
      </c>
    </row>
    <row r="43" spans="1:14" x14ac:dyDescent="0.25">
      <c r="A43" s="60" t="s">
        <v>179</v>
      </c>
      <c r="B43" s="71"/>
      <c r="C43" s="71"/>
      <c r="D43" s="71"/>
      <c r="E43" s="71">
        <v>1</v>
      </c>
      <c r="F43" s="71"/>
      <c r="G43" s="71">
        <v>1</v>
      </c>
      <c r="H43" s="71"/>
      <c r="I43" s="71"/>
      <c r="J43" s="71"/>
      <c r="K43" s="71">
        <v>3</v>
      </c>
      <c r="L43" s="71">
        <v>3</v>
      </c>
      <c r="M43" s="71">
        <v>1</v>
      </c>
      <c r="N43" s="71">
        <v>9</v>
      </c>
    </row>
    <row r="44" spans="1:14" x14ac:dyDescent="0.25">
      <c r="A44" s="60" t="s">
        <v>180</v>
      </c>
      <c r="B44" s="71"/>
      <c r="C44" s="71">
        <v>2</v>
      </c>
      <c r="D44" s="71"/>
      <c r="E44" s="71"/>
      <c r="F44" s="71">
        <v>1</v>
      </c>
      <c r="G44" s="71"/>
      <c r="H44" s="71"/>
      <c r="I44" s="71"/>
      <c r="J44" s="71"/>
      <c r="K44" s="71"/>
      <c r="L44" s="71">
        <v>3</v>
      </c>
      <c r="M44" s="71">
        <v>2</v>
      </c>
      <c r="N44" s="71">
        <v>8</v>
      </c>
    </row>
    <row r="45" spans="1:14" x14ac:dyDescent="0.25">
      <c r="A45" s="60" t="s">
        <v>181</v>
      </c>
      <c r="B45" s="71"/>
      <c r="C45" s="71"/>
      <c r="D45" s="71"/>
      <c r="E45" s="71"/>
      <c r="F45" s="71"/>
      <c r="G45" s="71"/>
      <c r="H45" s="71"/>
      <c r="I45" s="71"/>
      <c r="J45" s="71"/>
      <c r="K45" s="71"/>
      <c r="L45" s="71">
        <v>3</v>
      </c>
      <c r="M45" s="71">
        <v>7</v>
      </c>
      <c r="N45" s="71">
        <v>10</v>
      </c>
    </row>
    <row r="46" spans="1:14" x14ac:dyDescent="0.25">
      <c r="A46" s="60" t="s">
        <v>182</v>
      </c>
      <c r="B46" s="71"/>
      <c r="C46" s="71"/>
      <c r="D46" s="71"/>
      <c r="E46" s="71"/>
      <c r="F46" s="71"/>
      <c r="G46" s="71"/>
      <c r="H46" s="71"/>
      <c r="I46" s="71"/>
      <c r="J46" s="71"/>
      <c r="K46" s="71"/>
      <c r="L46" s="71">
        <v>1</v>
      </c>
      <c r="M46" s="71">
        <v>4</v>
      </c>
      <c r="N46" s="71">
        <v>5</v>
      </c>
    </row>
    <row r="47" spans="1:14" x14ac:dyDescent="0.25">
      <c r="A47" s="60" t="s">
        <v>183</v>
      </c>
      <c r="B47" s="71"/>
      <c r="C47" s="71"/>
      <c r="D47" s="71"/>
      <c r="E47" s="71"/>
      <c r="F47" s="71"/>
      <c r="G47" s="71"/>
      <c r="H47" s="71"/>
      <c r="I47" s="71"/>
      <c r="J47" s="71"/>
      <c r="K47" s="71"/>
      <c r="L47" s="71"/>
      <c r="M47" s="71">
        <v>2</v>
      </c>
      <c r="N47" s="71">
        <v>2</v>
      </c>
    </row>
    <row r="48" spans="1:14" x14ac:dyDescent="0.25">
      <c r="A48" s="60" t="s">
        <v>184</v>
      </c>
      <c r="B48" s="71"/>
      <c r="C48" s="71"/>
      <c r="D48" s="71"/>
      <c r="E48" s="71"/>
      <c r="F48" s="71"/>
      <c r="G48" s="71"/>
      <c r="H48" s="71"/>
      <c r="I48" s="71"/>
      <c r="J48" s="71"/>
      <c r="K48" s="71">
        <v>1</v>
      </c>
      <c r="L48" s="71">
        <v>2</v>
      </c>
      <c r="M48" s="71"/>
      <c r="N48" s="71">
        <v>3</v>
      </c>
    </row>
    <row r="49" spans="1:14" x14ac:dyDescent="0.25">
      <c r="A49" s="60" t="s">
        <v>185</v>
      </c>
      <c r="B49" s="71">
        <v>2</v>
      </c>
      <c r="C49" s="71">
        <v>11</v>
      </c>
      <c r="D49" s="71">
        <v>2</v>
      </c>
      <c r="E49" s="71">
        <v>2</v>
      </c>
      <c r="F49" s="71">
        <v>2</v>
      </c>
      <c r="G49" s="71">
        <v>3</v>
      </c>
      <c r="H49" s="71">
        <v>3</v>
      </c>
      <c r="I49" s="71">
        <v>2</v>
      </c>
      <c r="J49" s="71">
        <v>3</v>
      </c>
      <c r="K49" s="71">
        <v>8</v>
      </c>
      <c r="L49" s="71">
        <v>24</v>
      </c>
      <c r="M49" s="71">
        <v>20</v>
      </c>
      <c r="N49" s="71">
        <v>82</v>
      </c>
    </row>
    <row r="52" spans="1:14" ht="15.75" x14ac:dyDescent="0.25">
      <c r="A52" s="65" t="s">
        <v>187</v>
      </c>
    </row>
    <row r="53" spans="1:14" x14ac:dyDescent="0.25">
      <c r="A53" s="59" t="s">
        <v>203</v>
      </c>
      <c r="B53" s="59" t="s">
        <v>199</v>
      </c>
    </row>
    <row r="54" spans="1:14" x14ac:dyDescent="0.25">
      <c r="A54" s="59" t="s">
        <v>173</v>
      </c>
      <c r="B54" t="s">
        <v>140</v>
      </c>
      <c r="C54" t="s">
        <v>144</v>
      </c>
      <c r="D54" t="s">
        <v>147</v>
      </c>
      <c r="E54" t="s">
        <v>146</v>
      </c>
      <c r="F54" t="s">
        <v>185</v>
      </c>
    </row>
    <row r="55" spans="1:14" x14ac:dyDescent="0.25">
      <c r="A55" s="60" t="s">
        <v>174</v>
      </c>
      <c r="B55" s="71"/>
      <c r="C55" s="71">
        <v>18</v>
      </c>
      <c r="D55" s="71"/>
      <c r="E55" s="71">
        <v>2</v>
      </c>
      <c r="F55" s="71">
        <v>20</v>
      </c>
    </row>
    <row r="56" spans="1:14" x14ac:dyDescent="0.25">
      <c r="A56" s="60" t="s">
        <v>175</v>
      </c>
      <c r="B56" s="71"/>
      <c r="C56" s="71">
        <v>7</v>
      </c>
      <c r="D56" s="71"/>
      <c r="E56" s="71"/>
      <c r="F56" s="71">
        <v>7</v>
      </c>
    </row>
    <row r="57" spans="1:14" x14ac:dyDescent="0.25">
      <c r="A57" s="60" t="s">
        <v>176</v>
      </c>
      <c r="B57" s="71"/>
      <c r="C57" s="71">
        <v>2</v>
      </c>
      <c r="D57" s="71"/>
      <c r="E57" s="71"/>
      <c r="F57" s="71">
        <v>2</v>
      </c>
    </row>
    <row r="58" spans="1:14" x14ac:dyDescent="0.25">
      <c r="A58" s="60" t="s">
        <v>177</v>
      </c>
      <c r="B58" s="71"/>
      <c r="C58" s="71">
        <v>4</v>
      </c>
      <c r="D58" s="71">
        <v>2</v>
      </c>
      <c r="E58" s="71">
        <v>2</v>
      </c>
      <c r="F58" s="71">
        <v>8</v>
      </c>
    </row>
    <row r="59" spans="1:14" x14ac:dyDescent="0.25">
      <c r="A59" s="60" t="s">
        <v>178</v>
      </c>
      <c r="B59" s="71"/>
      <c r="C59" s="71">
        <v>7</v>
      </c>
      <c r="D59" s="71"/>
      <c r="E59" s="71"/>
      <c r="F59" s="71">
        <v>7</v>
      </c>
    </row>
    <row r="60" spans="1:14" x14ac:dyDescent="0.25">
      <c r="A60" s="60" t="s">
        <v>179</v>
      </c>
      <c r="B60" s="71"/>
      <c r="C60" s="71">
        <v>6</v>
      </c>
      <c r="D60" s="71">
        <v>1</v>
      </c>
      <c r="E60" s="71">
        <v>3</v>
      </c>
      <c r="F60" s="71">
        <v>10</v>
      </c>
    </row>
    <row r="61" spans="1:14" x14ac:dyDescent="0.25">
      <c r="A61" s="60" t="s">
        <v>180</v>
      </c>
      <c r="B61" s="71"/>
      <c r="C61" s="71">
        <v>6</v>
      </c>
      <c r="D61" s="71"/>
      <c r="E61" s="71">
        <v>2</v>
      </c>
      <c r="F61" s="71">
        <v>8</v>
      </c>
    </row>
    <row r="62" spans="1:14" x14ac:dyDescent="0.25">
      <c r="A62" s="60" t="s">
        <v>181</v>
      </c>
      <c r="B62" s="71">
        <v>5</v>
      </c>
      <c r="C62" s="71">
        <v>4</v>
      </c>
      <c r="D62" s="71"/>
      <c r="E62" s="71">
        <v>1</v>
      </c>
      <c r="F62" s="71">
        <v>10</v>
      </c>
    </row>
    <row r="63" spans="1:14" x14ac:dyDescent="0.25">
      <c r="A63" s="60" t="s">
        <v>182</v>
      </c>
      <c r="B63" s="71">
        <v>4</v>
      </c>
      <c r="C63" s="71">
        <v>1</v>
      </c>
      <c r="D63" s="71"/>
      <c r="E63" s="71"/>
      <c r="F63" s="71">
        <v>5</v>
      </c>
    </row>
    <row r="64" spans="1:14" x14ac:dyDescent="0.25">
      <c r="A64" s="60" t="s">
        <v>183</v>
      </c>
      <c r="B64" s="71">
        <v>2</v>
      </c>
      <c r="C64" s="71"/>
      <c r="D64" s="71"/>
      <c r="E64" s="71"/>
      <c r="F64" s="71">
        <v>2</v>
      </c>
    </row>
    <row r="65" spans="1:12" x14ac:dyDescent="0.25">
      <c r="A65" s="60" t="s">
        <v>184</v>
      </c>
      <c r="B65" s="71"/>
      <c r="C65" s="71">
        <v>1</v>
      </c>
      <c r="D65" s="71"/>
      <c r="E65" s="71">
        <v>2</v>
      </c>
      <c r="F65" s="71">
        <v>3</v>
      </c>
    </row>
    <row r="66" spans="1:12" x14ac:dyDescent="0.25">
      <c r="A66" s="60" t="s">
        <v>185</v>
      </c>
      <c r="B66" s="71">
        <v>11</v>
      </c>
      <c r="C66" s="71">
        <v>56</v>
      </c>
      <c r="D66" s="71">
        <v>3</v>
      </c>
      <c r="E66" s="71">
        <v>12</v>
      </c>
      <c r="F66" s="71">
        <v>82</v>
      </c>
    </row>
    <row r="69" spans="1:12" ht="15.75" x14ac:dyDescent="0.25">
      <c r="A69" s="65" t="s">
        <v>204</v>
      </c>
    </row>
    <row r="70" spans="1:12" x14ac:dyDescent="0.25">
      <c r="A70" s="59" t="s">
        <v>205</v>
      </c>
      <c r="B70" s="59" t="s">
        <v>199</v>
      </c>
    </row>
    <row r="71" spans="1:12" x14ac:dyDescent="0.25">
      <c r="A71" s="59" t="s">
        <v>173</v>
      </c>
      <c r="B71" t="s">
        <v>170</v>
      </c>
      <c r="C71" t="s">
        <v>100</v>
      </c>
      <c r="D71" t="s">
        <v>98</v>
      </c>
      <c r="E71" t="s">
        <v>102</v>
      </c>
      <c r="F71" t="s">
        <v>101</v>
      </c>
      <c r="G71" t="s">
        <v>140</v>
      </c>
      <c r="H71" t="s">
        <v>151</v>
      </c>
      <c r="I71" t="s">
        <v>131</v>
      </c>
      <c r="J71" t="s">
        <v>152</v>
      </c>
      <c r="K71" t="s">
        <v>150</v>
      </c>
      <c r="L71" t="s">
        <v>185</v>
      </c>
    </row>
    <row r="72" spans="1:12" x14ac:dyDescent="0.25">
      <c r="A72" s="60" t="s">
        <v>174</v>
      </c>
      <c r="B72" s="71"/>
      <c r="C72" s="71">
        <v>2</v>
      </c>
      <c r="D72" s="71">
        <v>15</v>
      </c>
      <c r="E72" s="71">
        <v>1</v>
      </c>
      <c r="F72" s="71">
        <v>1</v>
      </c>
      <c r="G72" s="71">
        <v>1</v>
      </c>
      <c r="H72" s="71"/>
      <c r="I72" s="71">
        <v>1</v>
      </c>
      <c r="J72" s="71"/>
      <c r="K72" s="71">
        <v>1</v>
      </c>
      <c r="L72" s="71">
        <v>22</v>
      </c>
    </row>
    <row r="73" spans="1:12" x14ac:dyDescent="0.25">
      <c r="A73" s="60" t="s">
        <v>175</v>
      </c>
      <c r="B73" s="71"/>
      <c r="C73" s="71">
        <v>3</v>
      </c>
      <c r="D73" s="71">
        <v>3</v>
      </c>
      <c r="E73" s="71">
        <v>1</v>
      </c>
      <c r="F73" s="71"/>
      <c r="G73" s="71"/>
      <c r="H73" s="71"/>
      <c r="I73" s="71"/>
      <c r="J73" s="71"/>
      <c r="K73" s="71"/>
      <c r="L73" s="71">
        <v>7</v>
      </c>
    </row>
    <row r="74" spans="1:12" x14ac:dyDescent="0.25">
      <c r="A74" s="60" t="s">
        <v>176</v>
      </c>
      <c r="B74" s="71"/>
      <c r="C74" s="71"/>
      <c r="D74" s="71">
        <v>2</v>
      </c>
      <c r="E74" s="71">
        <v>1</v>
      </c>
      <c r="F74" s="71"/>
      <c r="G74" s="71"/>
      <c r="H74" s="71"/>
      <c r="I74" s="71"/>
      <c r="J74" s="71"/>
      <c r="K74" s="71"/>
      <c r="L74" s="71">
        <v>3</v>
      </c>
    </row>
    <row r="75" spans="1:12" x14ac:dyDescent="0.25">
      <c r="A75" s="60" t="s">
        <v>177</v>
      </c>
      <c r="B75" s="71">
        <v>2</v>
      </c>
      <c r="C75" s="71"/>
      <c r="D75" s="71">
        <v>4</v>
      </c>
      <c r="E75" s="71"/>
      <c r="F75" s="71">
        <v>2</v>
      </c>
      <c r="G75" s="71"/>
      <c r="H75" s="71"/>
      <c r="I75" s="71"/>
      <c r="J75" s="71"/>
      <c r="K75" s="71"/>
      <c r="L75" s="71">
        <v>8</v>
      </c>
    </row>
    <row r="76" spans="1:12" x14ac:dyDescent="0.25">
      <c r="A76" s="60" t="s">
        <v>178</v>
      </c>
      <c r="B76" s="71"/>
      <c r="C76" s="71">
        <v>1</v>
      </c>
      <c r="D76" s="71">
        <v>6</v>
      </c>
      <c r="E76" s="71"/>
      <c r="F76" s="71"/>
      <c r="G76" s="71"/>
      <c r="H76" s="71"/>
      <c r="I76" s="71"/>
      <c r="J76" s="71"/>
      <c r="K76" s="71"/>
      <c r="L76" s="71">
        <v>7</v>
      </c>
    </row>
    <row r="77" spans="1:12" x14ac:dyDescent="0.25">
      <c r="A77" s="60" t="s">
        <v>179</v>
      </c>
      <c r="B77" s="71"/>
      <c r="C77" s="71"/>
      <c r="D77" s="71">
        <v>5</v>
      </c>
      <c r="E77" s="71"/>
      <c r="F77" s="71">
        <v>1</v>
      </c>
      <c r="G77" s="71">
        <v>2</v>
      </c>
      <c r="H77" s="71"/>
      <c r="I77" s="71">
        <v>1</v>
      </c>
      <c r="J77" s="71"/>
      <c r="K77" s="71"/>
      <c r="L77" s="71">
        <v>9</v>
      </c>
    </row>
    <row r="78" spans="1:12" x14ac:dyDescent="0.25">
      <c r="A78" s="60" t="s">
        <v>180</v>
      </c>
      <c r="B78" s="71"/>
      <c r="C78" s="71">
        <v>2</v>
      </c>
      <c r="D78" s="71">
        <v>3</v>
      </c>
      <c r="E78" s="71"/>
      <c r="F78" s="71"/>
      <c r="G78" s="71"/>
      <c r="H78" s="71">
        <v>1</v>
      </c>
      <c r="I78" s="71">
        <v>1</v>
      </c>
      <c r="J78" s="71"/>
      <c r="K78" s="71">
        <v>1</v>
      </c>
      <c r="L78" s="71">
        <v>8</v>
      </c>
    </row>
    <row r="79" spans="1:12" x14ac:dyDescent="0.25">
      <c r="A79" s="60" t="s">
        <v>181</v>
      </c>
      <c r="B79" s="71"/>
      <c r="C79" s="71">
        <v>3</v>
      </c>
      <c r="D79" s="71">
        <v>1</v>
      </c>
      <c r="E79" s="71"/>
      <c r="F79" s="71"/>
      <c r="G79" s="71">
        <v>6</v>
      </c>
      <c r="H79" s="71"/>
      <c r="I79" s="71"/>
      <c r="J79" s="71"/>
      <c r="K79" s="71"/>
      <c r="L79" s="71">
        <v>10</v>
      </c>
    </row>
    <row r="80" spans="1:12" x14ac:dyDescent="0.25">
      <c r="A80" s="60" t="s">
        <v>182</v>
      </c>
      <c r="B80" s="71"/>
      <c r="C80" s="71">
        <v>1</v>
      </c>
      <c r="D80" s="71"/>
      <c r="E80" s="71"/>
      <c r="F80" s="71"/>
      <c r="G80" s="71">
        <v>4</v>
      </c>
      <c r="H80" s="71"/>
      <c r="I80" s="71"/>
      <c r="J80" s="71"/>
      <c r="K80" s="71"/>
      <c r="L80" s="71">
        <v>5</v>
      </c>
    </row>
    <row r="81" spans="1:12" x14ac:dyDescent="0.25">
      <c r="A81" s="60" t="s">
        <v>183</v>
      </c>
      <c r="B81" s="71"/>
      <c r="C81" s="71"/>
      <c r="D81" s="71"/>
      <c r="E81" s="71"/>
      <c r="F81" s="71"/>
      <c r="G81" s="71">
        <v>2</v>
      </c>
      <c r="H81" s="71"/>
      <c r="I81" s="71"/>
      <c r="J81" s="71"/>
      <c r="K81" s="71"/>
      <c r="L81" s="71">
        <v>2</v>
      </c>
    </row>
    <row r="82" spans="1:12" x14ac:dyDescent="0.25">
      <c r="A82" s="60" t="s">
        <v>184</v>
      </c>
      <c r="B82" s="71"/>
      <c r="C82" s="71">
        <v>1</v>
      </c>
      <c r="D82" s="71"/>
      <c r="E82" s="71"/>
      <c r="F82" s="71"/>
      <c r="G82" s="71">
        <v>1</v>
      </c>
      <c r="H82" s="71"/>
      <c r="I82" s="71"/>
      <c r="J82" s="71">
        <v>1</v>
      </c>
      <c r="K82" s="71"/>
      <c r="L82" s="71">
        <v>3</v>
      </c>
    </row>
    <row r="83" spans="1:12" x14ac:dyDescent="0.25">
      <c r="A83" s="60" t="s">
        <v>185</v>
      </c>
      <c r="B83" s="71">
        <v>2</v>
      </c>
      <c r="C83" s="71">
        <v>13</v>
      </c>
      <c r="D83" s="71">
        <v>39</v>
      </c>
      <c r="E83" s="71">
        <v>3</v>
      </c>
      <c r="F83" s="71">
        <v>4</v>
      </c>
      <c r="G83" s="71">
        <v>16</v>
      </c>
      <c r="H83" s="71">
        <v>1</v>
      </c>
      <c r="I83" s="71">
        <v>3</v>
      </c>
      <c r="J83" s="71">
        <v>1</v>
      </c>
      <c r="K83" s="71">
        <v>2</v>
      </c>
      <c r="L83" s="71">
        <v>84</v>
      </c>
    </row>
    <row r="86" spans="1:12" ht="15.75" x14ac:dyDescent="0.25">
      <c r="A86" s="65" t="s">
        <v>188</v>
      </c>
    </row>
    <row r="87" spans="1:12" x14ac:dyDescent="0.25">
      <c r="A87" s="59" t="s">
        <v>198</v>
      </c>
      <c r="B87" s="59" t="s">
        <v>199</v>
      </c>
    </row>
    <row r="88" spans="1:12" x14ac:dyDescent="0.25">
      <c r="A88" s="59" t="s">
        <v>173</v>
      </c>
      <c r="B88" t="s">
        <v>129</v>
      </c>
      <c r="C88" t="s">
        <v>126</v>
      </c>
      <c r="D88" t="s">
        <v>124</v>
      </c>
      <c r="E88" t="s">
        <v>128</v>
      </c>
      <c r="F88" t="s">
        <v>127</v>
      </c>
      <c r="G88" t="s">
        <v>130</v>
      </c>
      <c r="H88" t="s">
        <v>125</v>
      </c>
      <c r="I88" t="s">
        <v>185</v>
      </c>
    </row>
    <row r="89" spans="1:12" x14ac:dyDescent="0.25">
      <c r="A89" s="60" t="s">
        <v>174</v>
      </c>
      <c r="B89" s="71"/>
      <c r="C89" s="71">
        <v>2</v>
      </c>
      <c r="D89" s="71">
        <v>14</v>
      </c>
      <c r="E89" s="71"/>
      <c r="F89" s="71">
        <v>1</v>
      </c>
      <c r="G89" s="71"/>
      <c r="H89" s="71">
        <v>5</v>
      </c>
      <c r="I89" s="71">
        <v>22</v>
      </c>
    </row>
    <row r="90" spans="1:12" x14ac:dyDescent="0.25">
      <c r="A90" s="60" t="s">
        <v>175</v>
      </c>
      <c r="B90" s="71">
        <v>1</v>
      </c>
      <c r="C90" s="71">
        <v>1</v>
      </c>
      <c r="D90" s="71">
        <v>2</v>
      </c>
      <c r="E90" s="71">
        <v>3</v>
      </c>
      <c r="F90" s="71"/>
      <c r="G90" s="71"/>
      <c r="H90" s="71">
        <v>1</v>
      </c>
      <c r="I90" s="71">
        <v>8</v>
      </c>
    </row>
    <row r="91" spans="1:12" x14ac:dyDescent="0.25">
      <c r="A91" s="60" t="s">
        <v>176</v>
      </c>
      <c r="B91" s="71"/>
      <c r="C91" s="71"/>
      <c r="D91" s="71">
        <v>1</v>
      </c>
      <c r="E91" s="71"/>
      <c r="F91" s="71">
        <v>2</v>
      </c>
      <c r="G91" s="71"/>
      <c r="H91" s="71"/>
      <c r="I91" s="71">
        <v>3</v>
      </c>
    </row>
    <row r="92" spans="1:12" x14ac:dyDescent="0.25">
      <c r="A92" s="60" t="s">
        <v>177</v>
      </c>
      <c r="B92" s="71"/>
      <c r="C92" s="71"/>
      <c r="D92" s="71">
        <v>5</v>
      </c>
      <c r="E92" s="71"/>
      <c r="F92" s="71">
        <v>3</v>
      </c>
      <c r="G92" s="71"/>
      <c r="H92" s="71"/>
      <c r="I92" s="71">
        <v>8</v>
      </c>
    </row>
    <row r="93" spans="1:12" x14ac:dyDescent="0.25">
      <c r="A93" s="60" t="s">
        <v>178</v>
      </c>
      <c r="B93" s="71"/>
      <c r="C93" s="71"/>
      <c r="D93" s="71">
        <v>3</v>
      </c>
      <c r="E93" s="71"/>
      <c r="F93" s="71">
        <v>3</v>
      </c>
      <c r="G93" s="71"/>
      <c r="H93" s="71">
        <v>1</v>
      </c>
      <c r="I93" s="71">
        <v>7</v>
      </c>
    </row>
    <row r="94" spans="1:12" x14ac:dyDescent="0.25">
      <c r="A94" s="60" t="s">
        <v>179</v>
      </c>
      <c r="B94" s="71"/>
      <c r="C94" s="71"/>
      <c r="D94" s="71">
        <v>6</v>
      </c>
      <c r="E94" s="71">
        <v>1</v>
      </c>
      <c r="F94" s="71">
        <v>3</v>
      </c>
      <c r="G94" s="71"/>
      <c r="H94" s="71"/>
      <c r="I94" s="71">
        <v>10</v>
      </c>
    </row>
    <row r="95" spans="1:12" x14ac:dyDescent="0.25">
      <c r="A95" s="60" t="s">
        <v>180</v>
      </c>
      <c r="B95" s="71"/>
      <c r="C95" s="71">
        <v>1</v>
      </c>
      <c r="D95" s="71">
        <v>4</v>
      </c>
      <c r="E95" s="71"/>
      <c r="F95" s="71">
        <v>3</v>
      </c>
      <c r="G95" s="71"/>
      <c r="H95" s="71"/>
      <c r="I95" s="71">
        <v>8</v>
      </c>
    </row>
    <row r="96" spans="1:12" x14ac:dyDescent="0.25">
      <c r="A96" s="60" t="s">
        <v>181</v>
      </c>
      <c r="B96" s="71"/>
      <c r="C96" s="71"/>
      <c r="D96" s="71">
        <v>5</v>
      </c>
      <c r="E96" s="71"/>
      <c r="F96" s="71">
        <v>1</v>
      </c>
      <c r="G96" s="71">
        <v>2</v>
      </c>
      <c r="H96" s="71">
        <v>1</v>
      </c>
      <c r="I96" s="71">
        <v>9</v>
      </c>
    </row>
    <row r="97" spans="1:9" x14ac:dyDescent="0.25">
      <c r="A97" s="60" t="s">
        <v>182</v>
      </c>
      <c r="B97" s="71"/>
      <c r="C97" s="71"/>
      <c r="D97" s="71">
        <v>4</v>
      </c>
      <c r="E97" s="71"/>
      <c r="F97" s="71"/>
      <c r="G97" s="71"/>
      <c r="H97" s="71">
        <v>1</v>
      </c>
      <c r="I97" s="71">
        <v>5</v>
      </c>
    </row>
    <row r="98" spans="1:9" x14ac:dyDescent="0.25">
      <c r="A98" s="60" t="s">
        <v>183</v>
      </c>
      <c r="B98" s="71"/>
      <c r="C98" s="71"/>
      <c r="D98" s="71">
        <v>2</v>
      </c>
      <c r="E98" s="71"/>
      <c r="F98" s="71"/>
      <c r="G98" s="71"/>
      <c r="H98" s="71"/>
      <c r="I98" s="71">
        <v>2</v>
      </c>
    </row>
    <row r="99" spans="1:9" x14ac:dyDescent="0.25">
      <c r="A99" s="60" t="s">
        <v>184</v>
      </c>
      <c r="B99" s="71"/>
      <c r="C99" s="71"/>
      <c r="D99" s="71">
        <v>2</v>
      </c>
      <c r="E99" s="71"/>
      <c r="F99" s="71"/>
      <c r="G99" s="71"/>
      <c r="H99" s="71">
        <v>1</v>
      </c>
      <c r="I99" s="71">
        <v>3</v>
      </c>
    </row>
    <row r="100" spans="1:9" x14ac:dyDescent="0.25">
      <c r="A100" s="60" t="s">
        <v>185</v>
      </c>
      <c r="B100" s="71">
        <v>1</v>
      </c>
      <c r="C100" s="71">
        <v>4</v>
      </c>
      <c r="D100" s="71">
        <v>48</v>
      </c>
      <c r="E100" s="71">
        <v>4</v>
      </c>
      <c r="F100" s="71">
        <v>16</v>
      </c>
      <c r="G100" s="71">
        <v>2</v>
      </c>
      <c r="H100" s="71">
        <v>10</v>
      </c>
      <c r="I100" s="71">
        <v>85</v>
      </c>
    </row>
    <row r="103" spans="1:9" ht="15.75" x14ac:dyDescent="0.25">
      <c r="A103" s="65" t="s">
        <v>189</v>
      </c>
    </row>
    <row r="104" spans="1:9" x14ac:dyDescent="0.25">
      <c r="A104" s="59" t="s">
        <v>173</v>
      </c>
      <c r="B104" t="s">
        <v>198</v>
      </c>
    </row>
    <row r="105" spans="1:9" x14ac:dyDescent="0.25">
      <c r="A105" s="60" t="s">
        <v>132</v>
      </c>
      <c r="B105" s="71">
        <v>33</v>
      </c>
    </row>
    <row r="106" spans="1:9" x14ac:dyDescent="0.25">
      <c r="A106" s="60" t="s">
        <v>133</v>
      </c>
      <c r="B106" s="71">
        <v>25</v>
      </c>
    </row>
    <row r="107" spans="1:9" x14ac:dyDescent="0.25">
      <c r="A107" s="60" t="s">
        <v>134</v>
      </c>
      <c r="B107" s="71">
        <v>23</v>
      </c>
    </row>
    <row r="108" spans="1:9" x14ac:dyDescent="0.25">
      <c r="A108" s="60" t="s">
        <v>135</v>
      </c>
      <c r="B108" s="71">
        <v>5</v>
      </c>
    </row>
    <row r="109" spans="1:9" x14ac:dyDescent="0.25">
      <c r="A109" s="60" t="s">
        <v>185</v>
      </c>
      <c r="B109" s="71">
        <v>86</v>
      </c>
    </row>
    <row r="112" spans="1:9" ht="15.75" x14ac:dyDescent="0.25">
      <c r="A112" s="65" t="s">
        <v>190</v>
      </c>
    </row>
    <row r="113" spans="1:4" x14ac:dyDescent="0.25">
      <c r="A113" s="59" t="s">
        <v>198</v>
      </c>
      <c r="B113" s="59" t="s">
        <v>199</v>
      </c>
    </row>
    <row r="114" spans="1:4" x14ac:dyDescent="0.25">
      <c r="A114" s="59" t="s">
        <v>173</v>
      </c>
      <c r="B114" t="s">
        <v>136</v>
      </c>
      <c r="C114" t="s">
        <v>137</v>
      </c>
      <c r="D114" t="s">
        <v>185</v>
      </c>
    </row>
    <row r="115" spans="1:4" x14ac:dyDescent="0.25">
      <c r="A115" s="60" t="s">
        <v>174</v>
      </c>
      <c r="B115" s="71">
        <v>13</v>
      </c>
      <c r="C115" s="71">
        <v>9</v>
      </c>
      <c r="D115" s="71">
        <v>22</v>
      </c>
    </row>
    <row r="116" spans="1:4" x14ac:dyDescent="0.25">
      <c r="A116" s="60" t="s">
        <v>175</v>
      </c>
      <c r="B116" s="71">
        <v>4</v>
      </c>
      <c r="C116" s="71">
        <v>4</v>
      </c>
      <c r="D116" s="71">
        <v>8</v>
      </c>
    </row>
    <row r="117" spans="1:4" x14ac:dyDescent="0.25">
      <c r="A117" s="60" t="s">
        <v>176</v>
      </c>
      <c r="B117" s="71">
        <v>2</v>
      </c>
      <c r="C117" s="71">
        <v>1</v>
      </c>
      <c r="D117" s="71">
        <v>3</v>
      </c>
    </row>
    <row r="118" spans="1:4" x14ac:dyDescent="0.25">
      <c r="A118" s="60" t="s">
        <v>177</v>
      </c>
      <c r="B118" s="71">
        <v>4</v>
      </c>
      <c r="C118" s="71">
        <v>4</v>
      </c>
      <c r="D118" s="71">
        <v>8</v>
      </c>
    </row>
    <row r="119" spans="1:4" x14ac:dyDescent="0.25">
      <c r="A119" s="60" t="s">
        <v>178</v>
      </c>
      <c r="B119" s="71">
        <v>4</v>
      </c>
      <c r="C119" s="71">
        <v>3</v>
      </c>
      <c r="D119" s="71">
        <v>7</v>
      </c>
    </row>
    <row r="120" spans="1:4" x14ac:dyDescent="0.25">
      <c r="A120" s="60" t="s">
        <v>179</v>
      </c>
      <c r="B120" s="71">
        <v>5</v>
      </c>
      <c r="C120" s="71">
        <v>5</v>
      </c>
      <c r="D120" s="71">
        <v>10</v>
      </c>
    </row>
    <row r="121" spans="1:4" x14ac:dyDescent="0.25">
      <c r="A121" s="60" t="s">
        <v>180</v>
      </c>
      <c r="B121" s="71">
        <v>3</v>
      </c>
      <c r="C121" s="71">
        <v>5</v>
      </c>
      <c r="D121" s="71">
        <v>8</v>
      </c>
    </row>
    <row r="122" spans="1:4" x14ac:dyDescent="0.25">
      <c r="A122" s="60" t="s">
        <v>181</v>
      </c>
      <c r="B122" s="71">
        <v>4</v>
      </c>
      <c r="C122" s="71">
        <v>6</v>
      </c>
      <c r="D122" s="71">
        <v>10</v>
      </c>
    </row>
    <row r="123" spans="1:4" x14ac:dyDescent="0.25">
      <c r="A123" s="60" t="s">
        <v>182</v>
      </c>
      <c r="B123" s="71">
        <v>3</v>
      </c>
      <c r="C123" s="71">
        <v>2</v>
      </c>
      <c r="D123" s="71">
        <v>5</v>
      </c>
    </row>
    <row r="124" spans="1:4" x14ac:dyDescent="0.25">
      <c r="A124" s="60" t="s">
        <v>183</v>
      </c>
      <c r="B124" s="71"/>
      <c r="C124" s="71">
        <v>2</v>
      </c>
      <c r="D124" s="71">
        <v>2</v>
      </c>
    </row>
    <row r="125" spans="1:4" x14ac:dyDescent="0.25">
      <c r="A125" s="60" t="s">
        <v>184</v>
      </c>
      <c r="B125" s="71">
        <v>2</v>
      </c>
      <c r="C125" s="71">
        <v>1</v>
      </c>
      <c r="D125" s="71">
        <v>3</v>
      </c>
    </row>
    <row r="126" spans="1:4" x14ac:dyDescent="0.25">
      <c r="A126" s="60" t="s">
        <v>185</v>
      </c>
      <c r="B126" s="71">
        <v>44</v>
      </c>
      <c r="C126" s="71">
        <v>42</v>
      </c>
      <c r="D126" s="71">
        <v>86</v>
      </c>
    </row>
    <row r="129" spans="1:5" ht="15.75" x14ac:dyDescent="0.25">
      <c r="A129" s="65" t="s">
        <v>191</v>
      </c>
    </row>
    <row r="130" spans="1:5" x14ac:dyDescent="0.25">
      <c r="A130" s="59" t="s">
        <v>206</v>
      </c>
      <c r="B130" s="59" t="s">
        <v>199</v>
      </c>
    </row>
    <row r="131" spans="1:5" x14ac:dyDescent="0.25">
      <c r="A131" s="59" t="s">
        <v>173</v>
      </c>
      <c r="B131" t="s">
        <v>97</v>
      </c>
      <c r="C131" t="s">
        <v>96</v>
      </c>
      <c r="D131" t="s">
        <v>95</v>
      </c>
      <c r="E131" t="s">
        <v>185</v>
      </c>
    </row>
    <row r="132" spans="1:5" x14ac:dyDescent="0.25">
      <c r="A132" s="60" t="s">
        <v>174</v>
      </c>
      <c r="B132" s="71"/>
      <c r="C132" s="71"/>
      <c r="D132" s="71">
        <v>22</v>
      </c>
      <c r="E132" s="71">
        <v>22</v>
      </c>
    </row>
    <row r="133" spans="1:5" x14ac:dyDescent="0.25">
      <c r="A133" s="60" t="s">
        <v>175</v>
      </c>
      <c r="B133" s="71"/>
      <c r="C133" s="71"/>
      <c r="D133" s="71">
        <v>8</v>
      </c>
      <c r="E133" s="71">
        <v>8</v>
      </c>
    </row>
    <row r="134" spans="1:5" x14ac:dyDescent="0.25">
      <c r="A134" s="60" t="s">
        <v>176</v>
      </c>
      <c r="B134" s="71"/>
      <c r="C134" s="71"/>
      <c r="D134" s="71">
        <v>3</v>
      </c>
      <c r="E134" s="71">
        <v>3</v>
      </c>
    </row>
    <row r="135" spans="1:5" x14ac:dyDescent="0.25">
      <c r="A135" s="60" t="s">
        <v>177</v>
      </c>
      <c r="B135" s="71"/>
      <c r="C135" s="71"/>
      <c r="D135" s="71">
        <v>8</v>
      </c>
      <c r="E135" s="71">
        <v>8</v>
      </c>
    </row>
    <row r="136" spans="1:5" x14ac:dyDescent="0.25">
      <c r="A136" s="60" t="s">
        <v>178</v>
      </c>
      <c r="B136" s="71"/>
      <c r="C136" s="71"/>
      <c r="D136" s="71">
        <v>7</v>
      </c>
      <c r="E136" s="71">
        <v>7</v>
      </c>
    </row>
    <row r="137" spans="1:5" x14ac:dyDescent="0.25">
      <c r="A137" s="60" t="s">
        <v>179</v>
      </c>
      <c r="B137" s="71"/>
      <c r="C137" s="71"/>
      <c r="D137" s="71">
        <v>10</v>
      </c>
      <c r="E137" s="71">
        <v>10</v>
      </c>
    </row>
    <row r="138" spans="1:5" x14ac:dyDescent="0.25">
      <c r="A138" s="60" t="s">
        <v>180</v>
      </c>
      <c r="B138" s="71">
        <v>2</v>
      </c>
      <c r="C138" s="71">
        <v>3</v>
      </c>
      <c r="D138" s="71">
        <v>3</v>
      </c>
      <c r="E138" s="71">
        <v>8</v>
      </c>
    </row>
    <row r="139" spans="1:5" x14ac:dyDescent="0.25">
      <c r="A139" s="60" t="s">
        <v>181</v>
      </c>
      <c r="B139" s="71">
        <v>10</v>
      </c>
      <c r="C139" s="71"/>
      <c r="D139" s="71"/>
      <c r="E139" s="71">
        <v>10</v>
      </c>
    </row>
    <row r="140" spans="1:5" x14ac:dyDescent="0.25">
      <c r="A140" s="60" t="s">
        <v>182</v>
      </c>
      <c r="B140" s="71">
        <v>5</v>
      </c>
      <c r="C140" s="71"/>
      <c r="D140" s="71"/>
      <c r="E140" s="71">
        <v>5</v>
      </c>
    </row>
    <row r="141" spans="1:5" x14ac:dyDescent="0.25">
      <c r="A141" s="60" t="s">
        <v>183</v>
      </c>
      <c r="B141" s="71">
        <v>2</v>
      </c>
      <c r="C141" s="71"/>
      <c r="D141" s="71"/>
      <c r="E141" s="71">
        <v>2</v>
      </c>
    </row>
    <row r="142" spans="1:5" x14ac:dyDescent="0.25">
      <c r="A142" s="60" t="s">
        <v>184</v>
      </c>
      <c r="B142" s="71">
        <v>3</v>
      </c>
      <c r="C142" s="71"/>
      <c r="D142" s="71"/>
      <c r="E142" s="71">
        <v>3</v>
      </c>
    </row>
    <row r="143" spans="1:5" x14ac:dyDescent="0.25">
      <c r="A143" s="60" t="s">
        <v>185</v>
      </c>
      <c r="B143" s="71">
        <v>22</v>
      </c>
      <c r="C143" s="71">
        <v>3</v>
      </c>
      <c r="D143" s="71">
        <v>61</v>
      </c>
      <c r="E143" s="71">
        <v>86</v>
      </c>
    </row>
  </sheetData>
  <pageMargins left="0.7" right="0.7" top="0.75" bottom="0.75" header="0.3" footer="0.3"/>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20B20-312D-4917-99CA-69A2EADC0FDC}">
  <sheetPr codeName="Sheet2"/>
  <dimension ref="A1"/>
  <sheetViews>
    <sheetView zoomScale="59" workbookViewId="0">
      <selection activeCell="S19" sqref="S19"/>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 Maulida</dc:creator>
  <cp:lastModifiedBy>Nor Maulida</cp:lastModifiedBy>
  <dcterms:created xsi:type="dcterms:W3CDTF">2026-07-16T01:36:33Z</dcterms:created>
  <dcterms:modified xsi:type="dcterms:W3CDTF">2026-07-30T08:01:43Z</dcterms:modified>
</cp:coreProperties>
</file>